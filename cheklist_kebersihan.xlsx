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2\Documents\Bionic\bionic\backend\"/>
    </mc:Choice>
  </mc:AlternateContent>
  <xr:revisionPtr revIDLastSave="0" documentId="13_ncr:1_{ECE579B7-B8CA-4270-8091-F5776F893026}" xr6:coauthVersionLast="47" xr6:coauthVersionMax="47" xr10:uidLastSave="{00000000-0000-0000-0000-000000000000}"/>
  <bookViews>
    <workbookView xWindow="3270" yWindow="1245" windowWidth="21015" windowHeight="11295" tabRatio="767" activeTab="3" xr2:uid="{00000000-000D-0000-FFFF-FFFF00000000}"/>
  </bookViews>
  <sheets>
    <sheet name="Shift 1" sheetId="3" r:id="rId1"/>
    <sheet name="Shift 2" sheetId="2" r:id="rId2"/>
    <sheet name="Shift 3" sheetId="4" r:id="rId3"/>
    <sheet name="all_items" sheetId="6" r:id="rId4"/>
    <sheet name="all_actions" sheetId="8" r:id="rId5"/>
    <sheet name="all_locations" sheetId="7" r:id="rId6"/>
    <sheet name="Sheet1" sheetId="9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29" i="2" l="1"/>
  <c r="F130" i="2"/>
  <c r="F131" i="2"/>
  <c r="F132" i="2"/>
  <c r="F133" i="2"/>
  <c r="F134" i="2"/>
  <c r="F135" i="2"/>
  <c r="E129" i="2"/>
  <c r="E130" i="2"/>
  <c r="E131" i="2"/>
  <c r="E132" i="2"/>
  <c r="E133" i="2"/>
  <c r="E134" i="2"/>
  <c r="E135" i="2"/>
  <c r="D129" i="2"/>
  <c r="D130" i="2"/>
  <c r="D131" i="2"/>
  <c r="D132" i="2"/>
  <c r="D133" i="2"/>
  <c r="D134" i="2"/>
  <c r="D135" i="2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2" i="4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36" i="2"/>
  <c r="F137" i="2"/>
  <c r="F138" i="2"/>
  <c r="F139" i="2"/>
  <c r="F140" i="2"/>
  <c r="F141" i="2"/>
  <c r="F2" i="2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2" i="3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67" i="3"/>
  <c r="D67" i="3"/>
  <c r="E118" i="2"/>
  <c r="D118" i="2"/>
  <c r="E83" i="2"/>
  <c r="D83" i="2"/>
  <c r="E69" i="2"/>
  <c r="D69" i="2"/>
  <c r="E43" i="2"/>
  <c r="D43" i="2"/>
  <c r="E37" i="2"/>
  <c r="D37" i="2"/>
  <c r="E28" i="2"/>
  <c r="D28" i="2"/>
  <c r="E17" i="2"/>
  <c r="D17" i="2"/>
  <c r="E8" i="2"/>
  <c r="D8" i="2"/>
  <c r="E77" i="3"/>
  <c r="D77" i="3"/>
  <c r="E2" i="2"/>
  <c r="E158" i="3"/>
  <c r="E150" i="3"/>
  <c r="E130" i="3"/>
  <c r="E121" i="3"/>
  <c r="E113" i="3"/>
  <c r="E140" i="3"/>
  <c r="E176" i="3"/>
  <c r="E168" i="3"/>
  <c r="E105" i="3"/>
  <c r="E99" i="3"/>
  <c r="E79" i="3"/>
  <c r="E2" i="3"/>
  <c r="E36" i="3"/>
  <c r="E20" i="3"/>
  <c r="E11" i="3"/>
  <c r="E61" i="3"/>
  <c r="E28" i="3"/>
  <c r="E56" i="3"/>
  <c r="E46" i="3"/>
  <c r="E88" i="3"/>
  <c r="E70" i="3"/>
  <c r="E159" i="3"/>
  <c r="E151" i="3"/>
  <c r="E131" i="3"/>
  <c r="E122" i="3"/>
  <c r="E114" i="3"/>
  <c r="E141" i="3"/>
  <c r="E177" i="3"/>
  <c r="E169" i="3"/>
  <c r="E106" i="3"/>
  <c r="E100" i="3"/>
  <c r="E80" i="3"/>
  <c r="E3" i="3"/>
  <c r="E37" i="3"/>
  <c r="E21" i="3"/>
  <c r="E12" i="3"/>
  <c r="E62" i="3"/>
  <c r="E29" i="3"/>
  <c r="E57" i="3"/>
  <c r="E47" i="3"/>
  <c r="E89" i="3"/>
  <c r="E4" i="3"/>
  <c r="E71" i="3"/>
  <c r="E160" i="3"/>
  <c r="E152" i="3"/>
  <c r="E132" i="3"/>
  <c r="E123" i="3"/>
  <c r="E115" i="3"/>
  <c r="E142" i="3"/>
  <c r="E178" i="3"/>
  <c r="E170" i="3"/>
  <c r="E5" i="3"/>
  <c r="E38" i="3"/>
  <c r="E22" i="3"/>
  <c r="E13" i="3"/>
  <c r="E63" i="3"/>
  <c r="E30" i="3"/>
  <c r="E72" i="3"/>
  <c r="E161" i="3"/>
  <c r="E153" i="3"/>
  <c r="E133" i="3"/>
  <c r="E124" i="3"/>
  <c r="E143" i="3"/>
  <c r="E179" i="3"/>
  <c r="E171" i="3"/>
  <c r="E81" i="3"/>
  <c r="E6" i="3"/>
  <c r="E39" i="3"/>
  <c r="E23" i="3"/>
  <c r="E14" i="3"/>
  <c r="E31" i="3"/>
  <c r="E73" i="3"/>
  <c r="E162" i="3"/>
  <c r="E154" i="3"/>
  <c r="E134" i="3"/>
  <c r="E125" i="3"/>
  <c r="E116" i="3"/>
  <c r="E144" i="3"/>
  <c r="E180" i="3"/>
  <c r="E172" i="3"/>
  <c r="E7" i="3"/>
  <c r="E40" i="3"/>
  <c r="E24" i="3"/>
  <c r="E15" i="3"/>
  <c r="E64" i="3"/>
  <c r="E32" i="3"/>
  <c r="E58" i="3"/>
  <c r="E59" i="3"/>
  <c r="E48" i="3"/>
  <c r="E90" i="3"/>
  <c r="E74" i="3"/>
  <c r="E8" i="3"/>
  <c r="E75" i="3"/>
  <c r="E107" i="3"/>
  <c r="E101" i="3"/>
  <c r="E82" i="3"/>
  <c r="E9" i="3"/>
  <c r="E41" i="3"/>
  <c r="E25" i="3"/>
  <c r="E16" i="3"/>
  <c r="E65" i="3"/>
  <c r="E33" i="3"/>
  <c r="E49" i="3"/>
  <c r="E91" i="3"/>
  <c r="E76" i="3"/>
  <c r="E163" i="3"/>
  <c r="E155" i="3"/>
  <c r="E135" i="3"/>
  <c r="E126" i="3"/>
  <c r="E117" i="3"/>
  <c r="E145" i="3"/>
  <c r="E181" i="3"/>
  <c r="E173" i="3"/>
  <c r="E108" i="3"/>
  <c r="E102" i="3"/>
  <c r="E10" i="3"/>
  <c r="E42" i="3"/>
  <c r="E26" i="3"/>
  <c r="E17" i="3"/>
  <c r="E34" i="3"/>
  <c r="E164" i="3"/>
  <c r="E156" i="3"/>
  <c r="E136" i="3"/>
  <c r="E127" i="3"/>
  <c r="E118" i="3"/>
  <c r="E146" i="3"/>
  <c r="E182" i="3"/>
  <c r="E174" i="3"/>
  <c r="E43" i="3"/>
  <c r="E27" i="3"/>
  <c r="E18" i="3"/>
  <c r="E66" i="3"/>
  <c r="E35" i="3"/>
  <c r="E19" i="3"/>
  <c r="E83" i="3"/>
  <c r="E44" i="3"/>
  <c r="E50" i="3"/>
  <c r="E92" i="3"/>
  <c r="E109" i="3"/>
  <c r="E84" i="3"/>
  <c r="E45" i="3"/>
  <c r="E51" i="3"/>
  <c r="E93" i="3"/>
  <c r="E85" i="3"/>
  <c r="E52" i="3"/>
  <c r="E94" i="3"/>
  <c r="E53" i="3"/>
  <c r="E95" i="3"/>
  <c r="E54" i="3"/>
  <c r="E96" i="3"/>
  <c r="E55" i="3"/>
  <c r="E97" i="3"/>
  <c r="E60" i="3"/>
  <c r="E68" i="3"/>
  <c r="E78" i="3"/>
  <c r="E86" i="3"/>
  <c r="E87" i="3"/>
  <c r="E98" i="3"/>
  <c r="E110" i="3"/>
  <c r="E103" i="3"/>
  <c r="E104" i="3"/>
  <c r="E165" i="3"/>
  <c r="E157" i="3"/>
  <c r="E137" i="3"/>
  <c r="E128" i="3"/>
  <c r="E119" i="3"/>
  <c r="E147" i="3"/>
  <c r="E183" i="3"/>
  <c r="E175" i="3"/>
  <c r="E111" i="3"/>
  <c r="E112" i="3"/>
  <c r="E166" i="3"/>
  <c r="E138" i="3"/>
  <c r="E129" i="3"/>
  <c r="E120" i="3"/>
  <c r="E148" i="3"/>
  <c r="E139" i="3"/>
  <c r="E149" i="3"/>
  <c r="E167" i="3"/>
  <c r="E69" i="3"/>
  <c r="E13" i="4"/>
  <c r="E21" i="4"/>
  <c r="E27" i="4"/>
  <c r="E33" i="4"/>
  <c r="E39" i="4"/>
  <c r="E46" i="4"/>
  <c r="E53" i="4"/>
  <c r="E59" i="4"/>
  <c r="E65" i="4"/>
  <c r="E76" i="4"/>
  <c r="E3" i="4"/>
  <c r="E14" i="4"/>
  <c r="E22" i="4"/>
  <c r="E28" i="4"/>
  <c r="E34" i="4"/>
  <c r="E40" i="4"/>
  <c r="E47" i="4"/>
  <c r="E54" i="4"/>
  <c r="E60" i="4"/>
  <c r="E66" i="4"/>
  <c r="E77" i="4"/>
  <c r="E23" i="4"/>
  <c r="E29" i="4"/>
  <c r="E35" i="4"/>
  <c r="E41" i="4"/>
  <c r="E48" i="4"/>
  <c r="E55" i="4"/>
  <c r="E61" i="4"/>
  <c r="E78" i="4"/>
  <c r="E4" i="4"/>
  <c r="E15" i="4"/>
  <c r="E24" i="4"/>
  <c r="E30" i="4"/>
  <c r="E36" i="4"/>
  <c r="E42" i="4"/>
  <c r="E49" i="4"/>
  <c r="E67" i="4"/>
  <c r="E5" i="4"/>
  <c r="E16" i="4"/>
  <c r="E25" i="4"/>
  <c r="E31" i="4"/>
  <c r="E37" i="4"/>
  <c r="E43" i="4"/>
  <c r="E50" i="4"/>
  <c r="E56" i="4"/>
  <c r="E62" i="4"/>
  <c r="E68" i="4"/>
  <c r="E79" i="4"/>
  <c r="E17" i="4"/>
  <c r="E6" i="4"/>
  <c r="E69" i="4"/>
  <c r="E7" i="4"/>
  <c r="E18" i="4"/>
  <c r="E26" i="4"/>
  <c r="E32" i="4"/>
  <c r="E38" i="4"/>
  <c r="E44" i="4"/>
  <c r="E51" i="4"/>
  <c r="E70" i="4"/>
  <c r="E80" i="4"/>
  <c r="E8" i="4"/>
  <c r="E71" i="4"/>
  <c r="E9" i="4"/>
  <c r="E72" i="4"/>
  <c r="E19" i="4"/>
  <c r="E45" i="4"/>
  <c r="E52" i="4"/>
  <c r="E57" i="4"/>
  <c r="E63" i="4"/>
  <c r="E81" i="4"/>
  <c r="E10" i="4"/>
  <c r="E20" i="4"/>
  <c r="E73" i="4"/>
  <c r="E11" i="4"/>
  <c r="E12" i="4"/>
  <c r="E74" i="4"/>
  <c r="E58" i="4"/>
  <c r="E64" i="4"/>
  <c r="E75" i="4"/>
  <c r="E2" i="4"/>
  <c r="E10" i="2"/>
  <c r="E13" i="2"/>
  <c r="E22" i="2"/>
  <c r="E30" i="2"/>
  <c r="E39" i="2"/>
  <c r="E45" i="2"/>
  <c r="E51" i="2"/>
  <c r="E57" i="2"/>
  <c r="E62" i="2"/>
  <c r="E71" i="2"/>
  <c r="E77" i="2"/>
  <c r="E85" i="2"/>
  <c r="E94" i="2"/>
  <c r="E115" i="2"/>
  <c r="E136" i="2"/>
  <c r="E3" i="2"/>
  <c r="E11" i="2"/>
  <c r="E23" i="2"/>
  <c r="E31" i="2"/>
  <c r="E40" i="2"/>
  <c r="E46" i="2"/>
  <c r="E52" i="2"/>
  <c r="E58" i="2"/>
  <c r="E63" i="2"/>
  <c r="E72" i="2"/>
  <c r="E78" i="2"/>
  <c r="E86" i="2"/>
  <c r="E95" i="2"/>
  <c r="E116" i="2"/>
  <c r="E137" i="2"/>
  <c r="E4" i="2"/>
  <c r="E24" i="2"/>
  <c r="E32" i="2"/>
  <c r="E53" i="2"/>
  <c r="E59" i="2"/>
  <c r="E64" i="2"/>
  <c r="E79" i="2"/>
  <c r="E119" i="2"/>
  <c r="E138" i="2"/>
  <c r="E5" i="2"/>
  <c r="E14" i="2"/>
  <c r="E25" i="2"/>
  <c r="E33" i="2"/>
  <c r="E41" i="2"/>
  <c r="E47" i="2"/>
  <c r="E54" i="2"/>
  <c r="E60" i="2"/>
  <c r="E65" i="2"/>
  <c r="E73" i="2"/>
  <c r="E80" i="2"/>
  <c r="E87" i="2"/>
  <c r="E117" i="2"/>
  <c r="E96" i="2"/>
  <c r="E6" i="2"/>
  <c r="E26" i="2"/>
  <c r="E34" i="2"/>
  <c r="E66" i="2"/>
  <c r="E7" i="2"/>
  <c r="E12" i="2"/>
  <c r="E15" i="2"/>
  <c r="E27" i="2"/>
  <c r="E35" i="2"/>
  <c r="E48" i="2"/>
  <c r="E67" i="2"/>
  <c r="E74" i="2"/>
  <c r="E81" i="2"/>
  <c r="E88" i="2"/>
  <c r="E97" i="2"/>
  <c r="E120" i="2"/>
  <c r="E36" i="2"/>
  <c r="E42" i="2"/>
  <c r="E55" i="2"/>
  <c r="E82" i="2"/>
  <c r="E49" i="2"/>
  <c r="E68" i="2"/>
  <c r="E75" i="2"/>
  <c r="E89" i="2"/>
  <c r="E98" i="2"/>
  <c r="E76" i="2"/>
  <c r="E90" i="2"/>
  <c r="E99" i="2"/>
  <c r="E91" i="2"/>
  <c r="E100" i="2"/>
  <c r="E101" i="2"/>
  <c r="E102" i="2"/>
  <c r="E103" i="2"/>
  <c r="E92" i="2"/>
  <c r="E93" i="2"/>
  <c r="E104" i="2"/>
  <c r="E50" i="2"/>
  <c r="E56" i="2"/>
  <c r="E61" i="2"/>
  <c r="E16" i="2"/>
  <c r="E9" i="2"/>
  <c r="E18" i="2"/>
  <c r="E19" i="2"/>
  <c r="E20" i="2"/>
  <c r="E21" i="2"/>
  <c r="E29" i="2"/>
  <c r="E38" i="2"/>
  <c r="E44" i="2"/>
  <c r="E70" i="2"/>
  <c r="E84" i="2"/>
  <c r="E121" i="2"/>
  <c r="E122" i="2"/>
  <c r="E123" i="2"/>
  <c r="E124" i="2"/>
  <c r="E125" i="2"/>
  <c r="E126" i="2"/>
  <c r="E127" i="2"/>
  <c r="E128" i="2"/>
  <c r="E139" i="2"/>
  <c r="E140" i="2"/>
  <c r="E141" i="2"/>
  <c r="D138" i="2"/>
  <c r="D3" i="4"/>
  <c r="D7" i="4"/>
  <c r="D8" i="4"/>
  <c r="D6" i="4"/>
  <c r="D10" i="4"/>
  <c r="D4" i="4"/>
  <c r="D11" i="4"/>
  <c r="D9" i="4"/>
  <c r="D12" i="4"/>
  <c r="D5" i="4"/>
  <c r="D13" i="4"/>
  <c r="D14" i="4"/>
  <c r="D18" i="4"/>
  <c r="D19" i="4"/>
  <c r="D15" i="4"/>
  <c r="D20" i="4"/>
  <c r="D17" i="4"/>
  <c r="D16" i="4"/>
  <c r="D21" i="4"/>
  <c r="D24" i="4"/>
  <c r="D22" i="4"/>
  <c r="D26" i="4"/>
  <c r="D23" i="4"/>
  <c r="D25" i="4"/>
  <c r="D27" i="4"/>
  <c r="D28" i="4"/>
  <c r="D32" i="4"/>
  <c r="D29" i="4"/>
  <c r="D30" i="4"/>
  <c r="D31" i="4"/>
  <c r="D33" i="4"/>
  <c r="D34" i="4"/>
  <c r="D38" i="4"/>
  <c r="D35" i="4"/>
  <c r="D36" i="4"/>
  <c r="D37" i="4"/>
  <c r="D39" i="4"/>
  <c r="D40" i="4"/>
  <c r="D44" i="4"/>
  <c r="D41" i="4"/>
  <c r="D42" i="4"/>
  <c r="D43" i="4"/>
  <c r="D45" i="4"/>
  <c r="D46" i="4"/>
  <c r="D47" i="4"/>
  <c r="D51" i="4"/>
  <c r="D48" i="4"/>
  <c r="D49" i="4"/>
  <c r="D50" i="4"/>
  <c r="D52" i="4"/>
  <c r="D53" i="4"/>
  <c r="D54" i="4"/>
  <c r="D57" i="4"/>
  <c r="D55" i="4"/>
  <c r="D56" i="4"/>
  <c r="D58" i="4"/>
  <c r="D59" i="4"/>
  <c r="D60" i="4"/>
  <c r="D63" i="4"/>
  <c r="D61" i="4"/>
  <c r="D62" i="4"/>
  <c r="D64" i="4"/>
  <c r="D65" i="4"/>
  <c r="D66" i="4"/>
  <c r="D70" i="4"/>
  <c r="D71" i="4"/>
  <c r="D69" i="4"/>
  <c r="D73" i="4"/>
  <c r="D67" i="4"/>
  <c r="D75" i="4"/>
  <c r="D72" i="4"/>
  <c r="D74" i="4"/>
  <c r="D68" i="4"/>
  <c r="D76" i="4"/>
  <c r="D77" i="4"/>
  <c r="D80" i="4"/>
  <c r="D81" i="4"/>
  <c r="D78" i="4"/>
  <c r="D79" i="4"/>
  <c r="D2" i="4"/>
  <c r="D3" i="2"/>
  <c r="D9" i="2"/>
  <c r="D4" i="2"/>
  <c r="D5" i="2"/>
  <c r="D6" i="2"/>
  <c r="D7" i="2"/>
  <c r="D10" i="2"/>
  <c r="D11" i="2"/>
  <c r="D12" i="2"/>
  <c r="D13" i="2"/>
  <c r="D19" i="2"/>
  <c r="D14" i="2"/>
  <c r="D18" i="2"/>
  <c r="D20" i="2"/>
  <c r="D15" i="2"/>
  <c r="D16" i="2"/>
  <c r="D21" i="2"/>
  <c r="D22" i="2"/>
  <c r="D23" i="2"/>
  <c r="D29" i="2"/>
  <c r="D24" i="2"/>
  <c r="D25" i="2"/>
  <c r="D26" i="2"/>
  <c r="D27" i="2"/>
  <c r="D30" i="2"/>
  <c r="D31" i="2"/>
  <c r="D38" i="2"/>
  <c r="D32" i="2"/>
  <c r="D33" i="2"/>
  <c r="D34" i="2"/>
  <c r="D35" i="2"/>
  <c r="D36" i="2"/>
  <c r="D39" i="2"/>
  <c r="D40" i="2"/>
  <c r="D44" i="2"/>
  <c r="D41" i="2"/>
  <c r="D42" i="2"/>
  <c r="D45" i="2"/>
  <c r="D46" i="2"/>
  <c r="D50" i="2"/>
  <c r="D47" i="2"/>
  <c r="D48" i="2"/>
  <c r="D49" i="2"/>
  <c r="D51" i="2"/>
  <c r="D52" i="2"/>
  <c r="D54" i="2"/>
  <c r="D53" i="2"/>
  <c r="D55" i="2"/>
  <c r="D56" i="2"/>
  <c r="D57" i="2"/>
  <c r="D58" i="2"/>
  <c r="D61" i="2"/>
  <c r="D59" i="2"/>
  <c r="D60" i="2"/>
  <c r="D62" i="2"/>
  <c r="D63" i="2"/>
  <c r="D70" i="2"/>
  <c r="D64" i="2"/>
  <c r="D65" i="2"/>
  <c r="D66" i="2"/>
  <c r="D67" i="2"/>
  <c r="D68" i="2"/>
  <c r="D71" i="2"/>
  <c r="D72" i="2"/>
  <c r="D73" i="2"/>
  <c r="D74" i="2"/>
  <c r="D75" i="2"/>
  <c r="D76" i="2"/>
  <c r="D77" i="2"/>
  <c r="D78" i="2"/>
  <c r="D84" i="2"/>
  <c r="D82" i="2"/>
  <c r="D79" i="2"/>
  <c r="D80" i="2"/>
  <c r="D81" i="2"/>
  <c r="D85" i="2"/>
  <c r="D86" i="2"/>
  <c r="D92" i="2"/>
  <c r="D87" i="2"/>
  <c r="D91" i="2"/>
  <c r="D93" i="2"/>
  <c r="D88" i="2"/>
  <c r="D89" i="2"/>
  <c r="D90" i="2"/>
  <c r="D94" i="2"/>
  <c r="D95" i="2"/>
  <c r="D100" i="2"/>
  <c r="D97" i="2"/>
  <c r="D98" i="2"/>
  <c r="D101" i="2"/>
  <c r="D99" i="2"/>
  <c r="D102" i="2"/>
  <c r="D103" i="2"/>
  <c r="D96" i="2"/>
  <c r="D104" i="2"/>
  <c r="D115" i="2"/>
  <c r="D116" i="2"/>
  <c r="D117" i="2"/>
  <c r="D121" i="2"/>
  <c r="D122" i="2"/>
  <c r="D120" i="2"/>
  <c r="D123" i="2"/>
  <c r="D124" i="2"/>
  <c r="D119" i="2"/>
  <c r="D125" i="2"/>
  <c r="D126" i="2"/>
  <c r="D127" i="2"/>
  <c r="D128" i="2"/>
  <c r="D136" i="2"/>
  <c r="D137" i="2"/>
  <c r="D139" i="2"/>
  <c r="D140" i="2"/>
  <c r="D141" i="2"/>
  <c r="D2" i="2"/>
  <c r="D70" i="3"/>
  <c r="D78" i="3"/>
  <c r="D71" i="3"/>
  <c r="D72" i="3"/>
  <c r="D73" i="3"/>
  <c r="D74" i="3"/>
  <c r="D75" i="3"/>
  <c r="D76" i="3"/>
  <c r="D158" i="3"/>
  <c r="D159" i="3"/>
  <c r="D163" i="3"/>
  <c r="D165" i="3"/>
  <c r="D166" i="3"/>
  <c r="D160" i="3"/>
  <c r="D164" i="3"/>
  <c r="D162" i="3"/>
  <c r="D161" i="3"/>
  <c r="D167" i="3"/>
  <c r="D150" i="3"/>
  <c r="D151" i="3"/>
  <c r="D155" i="3"/>
  <c r="D157" i="3"/>
  <c r="D152" i="3"/>
  <c r="D156" i="3"/>
  <c r="D154" i="3"/>
  <c r="D153" i="3"/>
  <c r="D130" i="3"/>
  <c r="D131" i="3"/>
  <c r="D135" i="3"/>
  <c r="D137" i="3"/>
  <c r="D138" i="3"/>
  <c r="D132" i="3"/>
  <c r="D136" i="3"/>
  <c r="D134" i="3"/>
  <c r="D133" i="3"/>
  <c r="D139" i="3"/>
  <c r="D121" i="3"/>
  <c r="D122" i="3"/>
  <c r="D126" i="3"/>
  <c r="D128" i="3"/>
  <c r="D129" i="3"/>
  <c r="D123" i="3"/>
  <c r="D127" i="3"/>
  <c r="D125" i="3"/>
  <c r="D124" i="3"/>
  <c r="D113" i="3"/>
  <c r="D114" i="3"/>
  <c r="D117" i="3"/>
  <c r="D119" i="3"/>
  <c r="D120" i="3"/>
  <c r="D115" i="3"/>
  <c r="D118" i="3"/>
  <c r="D116" i="3"/>
  <c r="D140" i="3"/>
  <c r="D141" i="3"/>
  <c r="D145" i="3"/>
  <c r="D147" i="3"/>
  <c r="D148" i="3"/>
  <c r="D142" i="3"/>
  <c r="D146" i="3"/>
  <c r="D144" i="3"/>
  <c r="D143" i="3"/>
  <c r="D149" i="3"/>
  <c r="D176" i="3"/>
  <c r="D177" i="3"/>
  <c r="D181" i="3"/>
  <c r="D183" i="3"/>
  <c r="D178" i="3"/>
  <c r="D182" i="3"/>
  <c r="D180" i="3"/>
  <c r="D179" i="3"/>
  <c r="D168" i="3"/>
  <c r="D169" i="3"/>
  <c r="D173" i="3"/>
  <c r="D175" i="3"/>
  <c r="D170" i="3"/>
  <c r="D174" i="3"/>
  <c r="D172" i="3"/>
  <c r="D171" i="3"/>
  <c r="D105" i="3"/>
  <c r="D106" i="3"/>
  <c r="D108" i="3"/>
  <c r="D110" i="3"/>
  <c r="D107" i="3"/>
  <c r="D111" i="3"/>
  <c r="D109" i="3"/>
  <c r="D112" i="3"/>
  <c r="D99" i="3"/>
  <c r="D100" i="3"/>
  <c r="D102" i="3"/>
  <c r="D103" i="3"/>
  <c r="D101" i="3"/>
  <c r="D104" i="3"/>
  <c r="D79" i="3"/>
  <c r="D80" i="3"/>
  <c r="D86" i="3"/>
  <c r="D81" i="3"/>
  <c r="D85" i="3"/>
  <c r="D87" i="3"/>
  <c r="D82" i="3"/>
  <c r="D83" i="3"/>
  <c r="D84" i="3"/>
  <c r="D2" i="3"/>
  <c r="D3" i="3"/>
  <c r="D4" i="3"/>
  <c r="D5" i="3"/>
  <c r="D6" i="3"/>
  <c r="D7" i="3"/>
  <c r="D8" i="3"/>
  <c r="D9" i="3"/>
  <c r="D10" i="3"/>
  <c r="D36" i="3"/>
  <c r="D40" i="3"/>
  <c r="D37" i="3"/>
  <c r="D42" i="3"/>
  <c r="D43" i="3"/>
  <c r="D38" i="3"/>
  <c r="D39" i="3"/>
  <c r="D41" i="3"/>
  <c r="D44" i="3"/>
  <c r="D45" i="3"/>
  <c r="D20" i="3"/>
  <c r="D24" i="3"/>
  <c r="D21" i="3"/>
  <c r="D26" i="3"/>
  <c r="D27" i="3"/>
  <c r="D22" i="3"/>
  <c r="D23" i="3"/>
  <c r="D25" i="3"/>
  <c r="D11" i="3"/>
  <c r="D15" i="3"/>
  <c r="D12" i="3"/>
  <c r="D17" i="3"/>
  <c r="D18" i="3"/>
  <c r="D13" i="3"/>
  <c r="D14" i="3"/>
  <c r="D19" i="3"/>
  <c r="D16" i="3"/>
  <c r="D61" i="3"/>
  <c r="D64" i="3"/>
  <c r="D62" i="3"/>
  <c r="D68" i="3"/>
  <c r="D66" i="3"/>
  <c r="D63" i="3"/>
  <c r="D65" i="3"/>
  <c r="D28" i="3"/>
  <c r="D32" i="3"/>
  <c r="D29" i="3"/>
  <c r="D34" i="3"/>
  <c r="D35" i="3"/>
  <c r="D30" i="3"/>
  <c r="D31" i="3"/>
  <c r="D33" i="3"/>
  <c r="D56" i="3"/>
  <c r="D58" i="3"/>
  <c r="D57" i="3"/>
  <c r="D59" i="3"/>
  <c r="D60" i="3"/>
  <c r="D46" i="3"/>
  <c r="D47" i="3"/>
  <c r="D52" i="3"/>
  <c r="D49" i="3"/>
  <c r="D50" i="3"/>
  <c r="D53" i="3"/>
  <c r="D51" i="3"/>
  <c r="D54" i="3"/>
  <c r="D55" i="3"/>
  <c r="D48" i="3"/>
  <c r="D88" i="3"/>
  <c r="D89" i="3"/>
  <c r="D94" i="3"/>
  <c r="D91" i="3"/>
  <c r="D92" i="3"/>
  <c r="D95" i="3"/>
  <c r="D93" i="3"/>
  <c r="D96" i="3"/>
  <c r="D97" i="3"/>
  <c r="D90" i="3"/>
  <c r="D98" i="3"/>
  <c r="D184" i="3"/>
  <c r="D69" i="3"/>
</calcChain>
</file>

<file path=xl/sharedStrings.xml><?xml version="1.0" encoding="utf-8"?>
<sst xmlns="http://schemas.openxmlformats.org/spreadsheetml/2006/main" count="1492" uniqueCount="312">
  <si>
    <t>bersih</t>
  </si>
  <si>
    <t>Lorong Plant</t>
  </si>
  <si>
    <t>Lorong Air Shower</t>
  </si>
  <si>
    <t>Tugas Lainnya</t>
  </si>
  <si>
    <t>Office Lantai 2</t>
  </si>
  <si>
    <t>Ruang Meeting</t>
  </si>
  <si>
    <t xml:space="preserve">Ruang Dapur </t>
  </si>
  <si>
    <t>Area Slicing Ubi</t>
  </si>
  <si>
    <t>Area Cuci Alat Produksi</t>
  </si>
  <si>
    <t xml:space="preserve"> </t>
  </si>
  <si>
    <t>Ruang Laundry</t>
  </si>
  <si>
    <t>bersih, kering &amp; tidak bau</t>
  </si>
  <si>
    <t xml:space="preserve">bersih </t>
  </si>
  <si>
    <t>bersih, tidak berminyak</t>
  </si>
  <si>
    <t>Tersedia</t>
  </si>
  <si>
    <t>bersih &amp; tidak ada sarang laba-laba</t>
  </si>
  <si>
    <t>Ruangan</t>
  </si>
  <si>
    <t>bersih, berfungsi</t>
  </si>
  <si>
    <t>bersih rapi</t>
  </si>
  <si>
    <t>tersedia</t>
  </si>
  <si>
    <t>bersih, rapi</t>
  </si>
  <si>
    <t>bersih berfungsi</t>
  </si>
  <si>
    <t>tidak ada tampungan air</t>
  </si>
  <si>
    <t>bersih, tersedia</t>
  </si>
  <si>
    <t>bersih, tidak berjamur</t>
  </si>
  <si>
    <t>bersih, tidak tergenang</t>
  </si>
  <si>
    <t/>
  </si>
  <si>
    <t>shift 1</t>
  </si>
  <si>
    <t>shift 2</t>
  </si>
  <si>
    <t>shift 3</t>
  </si>
  <si>
    <t>bersih, kering, tidak bau</t>
  </si>
  <si>
    <t>bersih, tidak ada sarang laba-laba</t>
  </si>
  <si>
    <t xml:space="preserve"> Admin Gudang Fg</t>
  </si>
  <si>
    <t>Area Open Brownies</t>
  </si>
  <si>
    <t>Panel Fg</t>
  </si>
  <si>
    <t>Area Lorong Produksi</t>
  </si>
  <si>
    <t>Ruang Direksi</t>
  </si>
  <si>
    <t>Ruang Produksi Beras</t>
  </si>
  <si>
    <t>Ruang Studio</t>
  </si>
  <si>
    <t>Ruang Qa</t>
  </si>
  <si>
    <t>Ruang Produksi Mixing</t>
  </si>
  <si>
    <t>Ruang Rnd</t>
  </si>
  <si>
    <t>Ruang Produksi Noodle</t>
  </si>
  <si>
    <t>Toilet Lantai 2</t>
  </si>
  <si>
    <t>Gudang Bahan Baku Rnd</t>
  </si>
  <si>
    <t>Ruang Produksi Pendingin</t>
  </si>
  <si>
    <t>Tangga Lantai 2</t>
  </si>
  <si>
    <t>Dapur Rnd</t>
  </si>
  <si>
    <t>Ruang Produksi Tepung</t>
  </si>
  <si>
    <t>Ruang Ob</t>
  </si>
  <si>
    <t>Ruang Meeting Rnd</t>
  </si>
  <si>
    <t>Ruang Lorong Packing Sekunder Beras</t>
  </si>
  <si>
    <t>Adm Rm</t>
  </si>
  <si>
    <t>Ruang Retain Qc</t>
  </si>
  <si>
    <t>Ruang Lorong Packing Sekunder Keripik</t>
  </si>
  <si>
    <t>Loker Pria</t>
  </si>
  <si>
    <t>Ruang Lab Qc</t>
  </si>
  <si>
    <t>Area Produksi Keripik</t>
  </si>
  <si>
    <t>Toilet Loker Pria</t>
  </si>
  <si>
    <t>Ruang Packing Keripik</t>
  </si>
  <si>
    <t>Ruang Spv Produksi</t>
  </si>
  <si>
    <t>Area Lorong Rm</t>
  </si>
  <si>
    <t>Loker Wanita</t>
  </si>
  <si>
    <t>Area Gudang Bahan Kemas</t>
  </si>
  <si>
    <t>Toilet Loker Wanita</t>
  </si>
  <si>
    <t>Area Gudang Bahan Baku Seasoning</t>
  </si>
  <si>
    <t>Mushola Dan Toilet Pos</t>
  </si>
  <si>
    <t>Area Gudang Bahan Baku Biji-Bijian</t>
  </si>
  <si>
    <t>Area Luar Gedung</t>
  </si>
  <si>
    <t xml:space="preserve">Area Gudang Bahan Pelet </t>
  </si>
  <si>
    <t>Laundry Apd</t>
  </si>
  <si>
    <t>Area Frozen</t>
  </si>
  <si>
    <t xml:space="preserve">Area Gudang Minyak Bekas </t>
  </si>
  <si>
    <t>Area Gudang Minyak Baru</t>
  </si>
  <si>
    <t>Items</t>
  </si>
  <si>
    <t>kriteria</t>
  </si>
  <si>
    <t>id_ruangan</t>
  </si>
  <si>
    <t>id_item</t>
  </si>
  <si>
    <t>Area Gudang Bahan Pelet</t>
  </si>
  <si>
    <t>Area Gudang Minyak Bekas</t>
  </si>
  <si>
    <t>Ruang Dapur</t>
  </si>
  <si>
    <t>Admin Gudang Fg</t>
  </si>
  <si>
    <t>sikat,lap</t>
  </si>
  <si>
    <t>cuci,sikat</t>
  </si>
  <si>
    <t>cuci,lap</t>
  </si>
  <si>
    <t>pembersihan debu,pembersihan sarang serangga</t>
  </si>
  <si>
    <t>sapu debu,pel dengan disinfektan dan pengharum</t>
  </si>
  <si>
    <t>lap dengan mikrofiber,disinfektan</t>
  </si>
  <si>
    <t>lap dengan disinfektan</t>
  </si>
  <si>
    <t>bersihkan debu,lap area kontak tangan</t>
  </si>
  <si>
    <t>bersihkan kotoran dengan cleaner</t>
  </si>
  <si>
    <t>lap bagian luar,lap bagian dalam dengan disinfektan makanan</t>
  </si>
  <si>
    <t>lap pintu,disinfektan gagang pintu</t>
  </si>
  <si>
    <t>dikosongkan,cuci,beri disinfektan</t>
  </si>
  <si>
    <t>bersihkan debu,dilap dengan pembersih</t>
  </si>
  <si>
    <t>lap permukaan duduk,lap permukaan sandaran</t>
  </si>
  <si>
    <t>bersihkan galon,bersihkan sekitar</t>
  </si>
  <si>
    <t>sikat dengan sabun,disinfektan</t>
  </si>
  <si>
    <t>isi ulang,bersihkan dispenser</t>
  </si>
  <si>
    <t>bersihkan dengan cleaner,lap noda air</t>
  </si>
  <si>
    <t>sikat, bersihkan dudukan,disinfektan</t>
  </si>
  <si>
    <t>stok tersedia,bersihkan holder</t>
  </si>
  <si>
    <t>bersihkan casing,isi ulang</t>
  </si>
  <si>
    <t>sapu,pel,lap pegangan</t>
  </si>
  <si>
    <t>bersihkan luar dalam, rapikan barang</t>
  </si>
  <si>
    <t>bersihkan permukaan,bersihkan handle</t>
  </si>
  <si>
    <t>bersihkan area luar,bersihkan filter (jika ada)</t>
  </si>
  <si>
    <t>sikat,disinfektan</t>
  </si>
  <si>
    <t>bersihkan permukaan,bersihkan rel</t>
  </si>
  <si>
    <t>bersihkan rak,bersihkan pintu,bersihkan gagang</t>
  </si>
  <si>
    <t>cuci,jemur</t>
  </si>
  <si>
    <t>angkat sampah,siram,sikat,disinfektan</t>
  </si>
  <si>
    <t>lap penyimpanan,kelengkapan</t>
  </si>
  <si>
    <t>ganti baru,bersihkan wadah</t>
  </si>
  <si>
    <t>bersihkan area sekitar,tutup wadah</t>
  </si>
  <si>
    <t>disinfektan,bersihkan area sekitar</t>
  </si>
  <si>
    <t>bersihkan area sekitar</t>
  </si>
  <si>
    <t>jemur,bersihkan area sekitar</t>
  </si>
  <si>
    <t>bersihkan sekitar</t>
  </si>
  <si>
    <t>sapu,pel,bersihkan mesin</t>
  </si>
  <si>
    <t>bersihkan filter,lap,bersihkan drum</t>
  </si>
  <si>
    <t>sapu,bunag sampah</t>
  </si>
  <si>
    <t>sapu,cek genangan,buang sampah</t>
  </si>
  <si>
    <t>sapu,buang sampah</t>
  </si>
  <si>
    <t>sikat,bersihkan sampah &amp; kotoran</t>
  </si>
  <si>
    <t>bersihkan sampah,siram</t>
  </si>
  <si>
    <t>siram,bersihkan sampah</t>
  </si>
  <si>
    <t>bersihkan bagian luar,perbaikan</t>
  </si>
  <si>
    <t>bersihkan debu</t>
  </si>
  <si>
    <t>ganti baru,cuci</t>
  </si>
  <si>
    <t>Mengepel Lantai</t>
  </si>
  <si>
    <t>Menyapu Lantai</t>
  </si>
  <si>
    <t>Mengelap Rak</t>
  </si>
  <si>
    <t>Mengelap Meja</t>
  </si>
  <si>
    <t>Mengosongkan Tempat Sampah</t>
  </si>
  <si>
    <t>Mengelap Permukaan Tempat Duduk</t>
  </si>
  <si>
    <t>Menyikat Kloset</t>
  </si>
  <si>
    <t>Membersihkan Tempat Tisu</t>
  </si>
  <si>
    <t>Membersihkan Tempat Pengharum</t>
  </si>
  <si>
    <t>Membersihkan Dudukan</t>
  </si>
  <si>
    <t>Membersihkan Tempat Sabun</t>
  </si>
  <si>
    <t>Membersihkan Permukaan Loker</t>
  </si>
  <si>
    <t>Membersihkan Gagang Loker</t>
  </si>
  <si>
    <t>Menyikat Bagian Dalam &amp; Luar Urinoir</t>
  </si>
  <si>
    <t>Mencuci Tirai</t>
  </si>
  <si>
    <t>Membersihkan Sampah</t>
  </si>
  <si>
    <t>Mencuci &amp; Mengeringkan Keset</t>
  </si>
  <si>
    <t>Mengganti Kamper Baru</t>
  </si>
  <si>
    <t>membersihkan Tempat Kamper</t>
  </si>
  <si>
    <t>Mengecek Kondisi Rumput Halaman</t>
  </si>
  <si>
    <t>Memperbaiki Yang Rusak</t>
  </si>
  <si>
    <t>Membersihkan Mesin</t>
  </si>
  <si>
    <t>Menguras Bak</t>
  </si>
  <si>
    <t>Mencuci Bak</t>
  </si>
  <si>
    <t>Menyemprot Dengan Air</t>
  </si>
  <si>
    <t>Mencuci Lap</t>
  </si>
  <si>
    <t>Mengeringkan Lap</t>
  </si>
  <si>
    <t>Membersihkan Ventilasi</t>
  </si>
  <si>
    <t>Membersihkan Selokan</t>
  </si>
  <si>
    <t>lantai</t>
  </si>
  <si>
    <t>langit_langit</t>
  </si>
  <si>
    <t>rak</t>
  </si>
  <si>
    <t>meja</t>
  </si>
  <si>
    <t>rak_sepatu</t>
  </si>
  <si>
    <t>kaca</t>
  </si>
  <si>
    <t>pintu</t>
  </si>
  <si>
    <t>galon</t>
  </si>
  <si>
    <t>tempat_sampah</t>
  </si>
  <si>
    <t>blower</t>
  </si>
  <si>
    <t>kursi</t>
  </si>
  <si>
    <t>air_minum_tamu</t>
  </si>
  <si>
    <t>wastafel</t>
  </si>
  <si>
    <t>sabun_cuci_tangan</t>
  </si>
  <si>
    <t>cermin</t>
  </si>
  <si>
    <t>kloset</t>
  </si>
  <si>
    <t>tisu</t>
  </si>
  <si>
    <t>pengharum_ruangan</t>
  </si>
  <si>
    <t>tangga</t>
  </si>
  <si>
    <t>lemari</t>
  </si>
  <si>
    <t>loker</t>
  </si>
  <si>
    <t>hand_dryer</t>
  </si>
  <si>
    <t>urinoir</t>
  </si>
  <si>
    <t>rolling_door</t>
  </si>
  <si>
    <t>chiller</t>
  </si>
  <si>
    <t>tirai</t>
  </si>
  <si>
    <t>lap</t>
  </si>
  <si>
    <t>dinding</t>
  </si>
  <si>
    <t>selokan</t>
  </si>
  <si>
    <t>perlengkapan_apd_tamu</t>
  </si>
  <si>
    <t>keset</t>
  </si>
  <si>
    <t>kamper</t>
  </si>
  <si>
    <t>halaman</t>
  </si>
  <si>
    <t>halaman_samping_gedung</t>
  </si>
  <si>
    <t>area_parkir</t>
  </si>
  <si>
    <t>tempat_cuci_depan_loker</t>
  </si>
  <si>
    <t>selokan_depan</t>
  </si>
  <si>
    <t>selokan_belakang</t>
  </si>
  <si>
    <t>pompa</t>
  </si>
  <si>
    <t>talang</t>
  </si>
  <si>
    <t>pengumpulan_apd_kotor</t>
  </si>
  <si>
    <t>perendaman_apd</t>
  </si>
  <si>
    <t>proses_pencucian_apd</t>
  </si>
  <si>
    <t>penjemuran_apd</t>
  </si>
  <si>
    <t>setrika_apd</t>
  </si>
  <si>
    <t>penyimpan_apd_ke_loker</t>
  </si>
  <si>
    <t>pembersihan_area_laundry</t>
  </si>
  <si>
    <t>mesin_cuci</t>
  </si>
  <si>
    <t>kipas_angin</t>
  </si>
  <si>
    <t>bak</t>
  </si>
  <si>
    <t>selokan_sprout</t>
  </si>
  <si>
    <t>lap_tangan</t>
  </si>
  <si>
    <t>ventilasi_dinding</t>
  </si>
  <si>
    <t>selokan_cuci_ubi</t>
  </si>
  <si>
    <t>antar_dokumen/barang</t>
  </si>
  <si>
    <t>bantu_bongkar_muat_barang</t>
  </si>
  <si>
    <t>bongkar_muat_galon</t>
  </si>
  <si>
    <t>menyiapkan_catering</t>
  </si>
  <si>
    <t>bantu_lainnya</t>
  </si>
  <si>
    <t>Mop Lantai</t>
  </si>
  <si>
    <t>Menyapu Debu dan Kotoran</t>
  </si>
  <si>
    <t>Membersihkan Sarang Serangga</t>
  </si>
  <si>
    <t>Mengelap Kaca Dengan Lap Basah</t>
  </si>
  <si>
    <t>Mengelap Kaca Dengan lap Kering</t>
  </si>
  <si>
    <t>Mengelap Rak Sepatu</t>
  </si>
  <si>
    <t>Mengelap Debu &amp; Kotoran</t>
  </si>
  <si>
    <t>Membersihkan Debu &amp; Kotoran Dengan Wipper Kaca</t>
  </si>
  <si>
    <t>Mengelap Pintu Dengan Lap Basah</t>
  </si>
  <si>
    <t>Mengelap Pintu Dengan Lap Kering</t>
  </si>
  <si>
    <t>Mengelap Tempat Galon Dengan Cairan Pembersih/Disinfektan</t>
  </si>
  <si>
    <t>Menyemprotkan Cairan Pembersih/Disinfektan</t>
  </si>
  <si>
    <t>Mencuci Tempat Sampah</t>
  </si>
  <si>
    <t>Menyemprotkan Cairan Disinfektan</t>
  </si>
  <si>
    <t>Menganti Galon Habis</t>
  </si>
  <si>
    <t>Menyediakan Galon Baru</t>
  </si>
  <si>
    <t>Mengganti Plastik Sampah Dengan Yang Baru</t>
  </si>
  <si>
    <t>Mengelap Permukaan Yang Kotor</t>
  </si>
  <si>
    <t>Membersihkan Debu Dengan Kemoceng/Mop Debu</t>
  </si>
  <si>
    <t>Mengelap Sandaran Tangan</t>
  </si>
  <si>
    <t>Mengelap Permukaan Sandaran Punggung</t>
  </si>
  <si>
    <t>Mengganti Galon Habis</t>
  </si>
  <si>
    <t>Menyikat Wastafel</t>
  </si>
  <si>
    <t>Menyemprotkan Cairan pembersih/Disinfektan</t>
  </si>
  <si>
    <t>Mengelap Kaca Dengan Lap Kering</t>
  </si>
  <si>
    <t>Mengelap Kaca Dengan Wipper</t>
  </si>
  <si>
    <t>Mengisi Ulang Tisu</t>
  </si>
  <si>
    <t>Mengisi Ulang Pengharum</t>
  </si>
  <si>
    <t>Mengisi Ulang Sabun</t>
  </si>
  <si>
    <t>Menyapu Tangga</t>
  </si>
  <si>
    <t>Mengepel Tangga</t>
  </si>
  <si>
    <t>Mengelap Pegangan Tangan</t>
  </si>
  <si>
    <t>Menyemprotkan Cairan Pembersih/ Disinfektan</t>
  </si>
  <si>
    <t>Mengelap Bagian Luar &amp; Dalam</t>
  </si>
  <si>
    <t>Merapikan Barang Di Dalam Lemari</t>
  </si>
  <si>
    <t>Mengelap Rolling Door</t>
  </si>
  <si>
    <t>Menyapu Daerah Sekitar Rolling Door</t>
  </si>
  <si>
    <t>Membersihkan Rel Rolling Door</t>
  </si>
  <si>
    <t>Mencuci Chiller</t>
  </si>
  <si>
    <t>Mengelap Chiller</t>
  </si>
  <si>
    <t>Menyemprotkan Disinfektan Pada Urinoir</t>
  </si>
  <si>
    <t>Mengelap Tirai</t>
  </si>
  <si>
    <t>Menyediakan Lap</t>
  </si>
  <si>
    <t>Mengganti Lap Lama Dengan Yang Baru</t>
  </si>
  <si>
    <t>Membersihkan Gutter/Badan Talang</t>
  </si>
  <si>
    <t>Membersihkan Inlet/Lubang Saluran</t>
  </si>
  <si>
    <t>Membersihkan Filter/Basket/Leaf Guard</t>
  </si>
  <si>
    <t>Membersihkan Downpipe/Saluran Pipa Bawah</t>
  </si>
  <si>
    <t>Mengecek Sambungan Talang</t>
  </si>
  <si>
    <t>Mengumpulkan APD Yang Sudah Terpakai</t>
  </si>
  <si>
    <t>Memeriksa/Mengecek Kondisi Mesin</t>
  </si>
  <si>
    <t>Membersihkan Area Sekitar Perendaman</t>
  </si>
  <si>
    <t>Memeriksa Kondisi APD Yang Direndam</t>
  </si>
  <si>
    <t>Mengecek/Memeriksa Kondisi APD Yang Dikumpulkan</t>
  </si>
  <si>
    <t>Membersihkan Area Sekitar Tempat Pencucian</t>
  </si>
  <si>
    <t>Mengecek/Memeriksa Kondisi APD Yang Dicuci</t>
  </si>
  <si>
    <t>Membersihkan Area Sekitar Tempat Menjemur APD</t>
  </si>
  <si>
    <t>Mengecek/Memeriksa kondisi APD Yang Sedang Dijemur</t>
  </si>
  <si>
    <t>Membersihkan Area Sekitar Tempat Setrika</t>
  </si>
  <si>
    <t>Mengecek/Memeriksa Kondisi APD Yang Akan Disetrika</t>
  </si>
  <si>
    <t>Mengecek/Memeriksa Kondisi APD Yang Siap Digunakan</t>
  </si>
  <si>
    <t>Membersihkan Area Sekitar Tempat Penyimpanan</t>
  </si>
  <si>
    <t>Membersihkan Lemari Penyimpanan APD</t>
  </si>
  <si>
    <t>Memeriksa /Mengecek Kondisi Mesin</t>
  </si>
  <si>
    <t>Membersihkan Baling-Baling</t>
  </si>
  <si>
    <t>Menyikat Bak</t>
  </si>
  <si>
    <t>Membersihkan bagian Luar &amp; Dalam Mesin Cuci</t>
  </si>
  <si>
    <t>Membersihkan Area Sekitar Mesin Cuci</t>
  </si>
  <si>
    <t>Membersihkan Area Sekitar Area Laundry</t>
  </si>
  <si>
    <t>Membersihkan Bagian Luar &amp; Dalam Hand Dryer</t>
  </si>
  <si>
    <t>Memeriksa/Mengecek Kondisi Mesin Hand Dryer</t>
  </si>
  <si>
    <t>Menyemprot/Menyiram Sisa Sampah</t>
  </si>
  <si>
    <t>Menyikat Bagian Tepi Selokan</t>
  </si>
  <si>
    <t>Menyikat Bagian Dinding Yang Kotor</t>
  </si>
  <si>
    <t>Mengelap Debu dan Bekas Cap Tangan</t>
  </si>
  <si>
    <t>Mengecek &amp; Menyediakan Masker</t>
  </si>
  <si>
    <t>Mengecek &amp; Menyediakan Pelindung Sepatu</t>
  </si>
  <si>
    <t>Mengecek &amp; Menyediakan APD Baru</t>
  </si>
  <si>
    <t>Mengelap/Membersihkan Lemari Penyimpanan APD</t>
  </si>
  <si>
    <t>Mengecek/Memeriksa Ketersediaan Keset Baru</t>
  </si>
  <si>
    <t>Membersihkan Sampah Disekitar Area Halaman</t>
  </si>
  <si>
    <t>Menyapu Area Halaman</t>
  </si>
  <si>
    <t>Membersihkan Sampah Disekitar Area Parkir</t>
  </si>
  <si>
    <t>Membersihkan/Menyapu Sampah</t>
  </si>
  <si>
    <t>Menyikat Tempat Cuci</t>
  </si>
  <si>
    <t>Mengalirkan Air/Menyemprot Saluran Air</t>
  </si>
  <si>
    <t>Mengalirkan Air/Menyemprotkan Saluran Air</t>
  </si>
  <si>
    <t>Menyikat Selokan</t>
  </si>
  <si>
    <t>Toilet Pos</t>
  </si>
  <si>
    <t>Mushola</t>
  </si>
  <si>
    <t>apd</t>
  </si>
  <si>
    <t>pengumpulan apd kotor,perendaman apd,proses pencucian apd,penjemuran apd,setrika apd,penyimpanan ke loker</t>
  </si>
  <si>
    <t>id_item_type</t>
  </si>
  <si>
    <t>Laundry APD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</si>
</sst>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8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b/>
      <sz val="11"/>
      <color rgb="FF000000"/>
      <name val="Calibri"/>
      <family val="2"/>
      <charset val="1"/>
    </font>
    <font>
      <b/>
      <sz val="12"/>
      <color indexed="8"/>
      <name val="Arial"/>
      <family val="2"/>
    </font>
    <font>
      <b/>
      <sz val="11"/>
      <color indexed="8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3" fillId="0" borderId="0" xfId="0" applyFont="1"/>
    <xf numFmtId="0" fontId="0" fillId="0" borderId="0" xfId="0" applyAlignment="1">
      <alignment vertical="center"/>
    </xf>
    <xf numFmtId="0" fontId="5" fillId="0" borderId="0" xfId="0" applyFont="1"/>
    <xf numFmtId="0" fontId="5" fillId="0" borderId="3" xfId="0" applyFont="1" applyBorder="1"/>
    <xf numFmtId="0" fontId="6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Border="1"/>
    <xf numFmtId="0" fontId="0" fillId="0" borderId="0" xfId="0" applyBorder="1"/>
    <xf numFmtId="0" fontId="6" fillId="0" borderId="0" xfId="0" applyFont="1" applyFill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0" fillId="0" borderId="3" xfId="0" applyBorder="1" applyAlignment="1">
      <alignment horizontal="left"/>
    </xf>
  </cellXfs>
  <cellStyles count="2">
    <cellStyle name="Explanatory Text" xfId="1" builtinId="53" customBuiltin="1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84"/>
  <sheetViews>
    <sheetView topLeftCell="A96" workbookViewId="0">
      <selection activeCell="F1" sqref="F1"/>
    </sheetView>
  </sheetViews>
  <sheetFormatPr defaultRowHeight="15" x14ac:dyDescent="0.25"/>
  <cols>
    <col min="1" max="1" width="38" style="10" bestFit="1" customWidth="1"/>
    <col min="2" max="2" width="30" style="10" bestFit="1" customWidth="1"/>
    <col min="3" max="3" width="37.5703125" style="10" hidden="1" customWidth="1"/>
    <col min="4" max="4" width="8.7109375" style="7" bestFit="1" customWidth="1"/>
    <col min="5" max="5" width="13.85546875" style="7" bestFit="1" customWidth="1"/>
    <col min="6" max="6" width="15.28515625" bestFit="1" customWidth="1"/>
  </cols>
  <sheetData>
    <row r="1" spans="1:6" s="19" customFormat="1" ht="15.75" x14ac:dyDescent="0.25">
      <c r="A1" s="18" t="s">
        <v>16</v>
      </c>
      <c r="B1" s="18" t="s">
        <v>74</v>
      </c>
      <c r="C1" s="18" t="s">
        <v>75</v>
      </c>
      <c r="D1" s="22" t="s">
        <v>77</v>
      </c>
      <c r="E1" s="22" t="s">
        <v>76</v>
      </c>
      <c r="F1" s="22" t="s">
        <v>310</v>
      </c>
    </row>
    <row r="2" spans="1:6" x14ac:dyDescent="0.25">
      <c r="A2" s="8" t="s">
        <v>4</v>
      </c>
      <c r="B2" s="8" t="s">
        <v>159</v>
      </c>
      <c r="C2" s="8" t="s">
        <v>21</v>
      </c>
      <c r="D2" s="7">
        <f>_xlfn.IFNA(ROW(INDEX(all_items!$A$1:$A$57,MATCH(B2,all_items!$A$1:$A$57,0))), "")</f>
        <v>1</v>
      </c>
      <c r="E2" s="7">
        <f>_xlfn.IFNA(ROW(INDEX(all_locations!$E$1:$E$51,MATCH(A2,all_locations!$E$1:$E$51,0))), "")</f>
        <v>1</v>
      </c>
      <c r="F2" t="str">
        <f t="shared" ref="F2:F33" si="0">IF(OR(B2="sabun_cuci_tangan",B2="tisu",B2="pengharum_ruangan"),"refill","non_refill")</f>
        <v>non_refill</v>
      </c>
    </row>
    <row r="3" spans="1:6" x14ac:dyDescent="0.25">
      <c r="A3" s="8" t="s">
        <v>4</v>
      </c>
      <c r="B3" s="8" t="s">
        <v>160</v>
      </c>
      <c r="C3" s="8" t="s">
        <v>0</v>
      </c>
      <c r="D3" s="7">
        <f>_xlfn.IFNA(ROW(INDEX(all_items!$A$1:$A$57,MATCH(B3,all_items!$A$1:$A$57,0))), "")</f>
        <v>2</v>
      </c>
      <c r="E3" s="7">
        <f>_xlfn.IFNA(ROW(INDEX(all_locations!$E$1:$E$51,MATCH(A3,all_locations!$E$1:$E$51,0))), "")</f>
        <v>1</v>
      </c>
      <c r="F3" t="str">
        <f t="shared" si="0"/>
        <v>non_refill</v>
      </c>
    </row>
    <row r="4" spans="1:6" x14ac:dyDescent="0.25">
      <c r="A4" s="8" t="s">
        <v>4</v>
      </c>
      <c r="B4" s="12" t="s">
        <v>161</v>
      </c>
      <c r="C4" s="8" t="s">
        <v>0</v>
      </c>
      <c r="D4" s="7">
        <f>_xlfn.IFNA(ROW(INDEX(all_items!$A$1:$A$57,MATCH(B4,all_items!$A$1:$A$57,0))), "")</f>
        <v>3</v>
      </c>
      <c r="E4" s="7">
        <f>_xlfn.IFNA(ROW(INDEX(all_locations!$E$1:$E$51,MATCH(A4,all_locations!$E$1:$E$51,0))), "")</f>
        <v>1</v>
      </c>
      <c r="F4" t="str">
        <f t="shared" si="0"/>
        <v>non_refill</v>
      </c>
    </row>
    <row r="5" spans="1:6" x14ac:dyDescent="0.25">
      <c r="A5" s="8" t="s">
        <v>4</v>
      </c>
      <c r="B5" s="8" t="s">
        <v>162</v>
      </c>
      <c r="C5" s="8" t="s">
        <v>0</v>
      </c>
      <c r="D5" s="7">
        <f>_xlfn.IFNA(ROW(INDEX(all_items!$A$1:$A$57,MATCH(B5,all_items!$A$1:$A$57,0))), "")</f>
        <v>4</v>
      </c>
      <c r="E5" s="7">
        <f>_xlfn.IFNA(ROW(INDEX(all_locations!$E$1:$E$51,MATCH(A5,all_locations!$E$1:$E$51,0))), "")</f>
        <v>1</v>
      </c>
      <c r="F5" t="str">
        <f t="shared" si="0"/>
        <v>non_refill</v>
      </c>
    </row>
    <row r="6" spans="1:6" x14ac:dyDescent="0.25">
      <c r="A6" s="8" t="s">
        <v>4</v>
      </c>
      <c r="B6" s="8" t="s">
        <v>164</v>
      </c>
      <c r="C6" s="8" t="s">
        <v>19</v>
      </c>
      <c r="D6" s="7">
        <f>_xlfn.IFNA(ROW(INDEX(all_items!$A$1:$A$57,MATCH(B6,all_items!$A$1:$A$57,0))), "")</f>
        <v>6</v>
      </c>
      <c r="E6" s="7">
        <f>_xlfn.IFNA(ROW(INDEX(all_locations!$E$1:$E$51,MATCH(A6,all_locations!$E$1:$E$51,0))), "")</f>
        <v>1</v>
      </c>
      <c r="F6" t="str">
        <f t="shared" si="0"/>
        <v>non_refill</v>
      </c>
    </row>
    <row r="7" spans="1:6" x14ac:dyDescent="0.25">
      <c r="A7" s="8" t="s">
        <v>4</v>
      </c>
      <c r="B7" s="8" t="s">
        <v>165</v>
      </c>
      <c r="C7" s="8" t="s">
        <v>23</v>
      </c>
      <c r="D7" s="7">
        <f>_xlfn.IFNA(ROW(INDEX(all_items!$A$1:$A$57,MATCH(B7,all_items!$A$1:$A$57,0))), "")</f>
        <v>7</v>
      </c>
      <c r="E7" s="7">
        <f>_xlfn.IFNA(ROW(INDEX(all_locations!$E$1:$E$51,MATCH(A7,all_locations!$E$1:$E$51,0))), "")</f>
        <v>1</v>
      </c>
      <c r="F7" t="str">
        <f t="shared" si="0"/>
        <v>non_refill</v>
      </c>
    </row>
    <row r="8" spans="1:6" x14ac:dyDescent="0.25">
      <c r="A8" s="8" t="s">
        <v>4</v>
      </c>
      <c r="B8" s="8" t="s">
        <v>166</v>
      </c>
      <c r="C8" s="12" t="s">
        <v>11</v>
      </c>
      <c r="D8" s="7">
        <f>_xlfn.IFNA(ROW(INDEX(all_items!$A$1:$A$57,MATCH(B8,all_items!$A$1:$A$57,0))), "")</f>
        <v>8</v>
      </c>
      <c r="E8" s="7">
        <f>_xlfn.IFNA(ROW(INDEX(all_locations!$E$1:$E$51,MATCH(A8,all_locations!$E$1:$E$51,0))), "")</f>
        <v>1</v>
      </c>
      <c r="F8" t="str">
        <f t="shared" si="0"/>
        <v>non_refill</v>
      </c>
    </row>
    <row r="9" spans="1:6" x14ac:dyDescent="0.25">
      <c r="A9" s="8" t="s">
        <v>4</v>
      </c>
      <c r="B9" s="8" t="s">
        <v>167</v>
      </c>
      <c r="C9" s="12" t="s">
        <v>15</v>
      </c>
      <c r="D9" s="7">
        <f>_xlfn.IFNA(ROW(INDEX(all_items!$A$1:$A$57,MATCH(B9,all_items!$A$1:$A$57,0))), "")</f>
        <v>9</v>
      </c>
      <c r="E9" s="7">
        <f>_xlfn.IFNA(ROW(INDEX(all_locations!$E$1:$E$51,MATCH(A9,all_locations!$E$1:$E$51,0))), "")</f>
        <v>1</v>
      </c>
      <c r="F9" t="str">
        <f t="shared" si="0"/>
        <v>non_refill</v>
      </c>
    </row>
    <row r="10" spans="1:6" x14ac:dyDescent="0.25">
      <c r="A10" s="8" t="s">
        <v>4</v>
      </c>
      <c r="B10" s="8" t="s">
        <v>168</v>
      </c>
      <c r="C10" s="11" t="s">
        <v>17</v>
      </c>
      <c r="D10" s="7">
        <f>_xlfn.IFNA(ROW(INDEX(all_items!$A$1:$A$57,MATCH(B10,all_items!$A$1:$A$57,0))), "")</f>
        <v>10</v>
      </c>
      <c r="E10" s="7">
        <f>_xlfn.IFNA(ROW(INDEX(all_locations!$E$1:$E$51,MATCH(A10,all_locations!$E$1:$E$51,0))), "")</f>
        <v>1</v>
      </c>
      <c r="F10" t="str">
        <f t="shared" si="0"/>
        <v>non_refill</v>
      </c>
    </row>
    <row r="11" spans="1:6" x14ac:dyDescent="0.25">
      <c r="A11" s="8" t="s">
        <v>5</v>
      </c>
      <c r="B11" s="8" t="s">
        <v>159</v>
      </c>
      <c r="C11" s="14" t="s">
        <v>0</v>
      </c>
      <c r="D11" s="7">
        <f>_xlfn.IFNA(ROW(INDEX(all_items!$A$1:$A$57,MATCH(B11,all_items!$A$1:$A$57,0))), "")</f>
        <v>1</v>
      </c>
      <c r="E11" s="7">
        <f>_xlfn.IFNA(ROW(INDEX(all_locations!$E$1:$E$51,MATCH(A11,all_locations!$E$1:$E$51,0))), "")</f>
        <v>2</v>
      </c>
      <c r="F11" t="str">
        <f t="shared" si="0"/>
        <v>non_refill</v>
      </c>
    </row>
    <row r="12" spans="1:6" x14ac:dyDescent="0.25">
      <c r="A12" s="8" t="s">
        <v>5</v>
      </c>
      <c r="B12" s="8" t="s">
        <v>160</v>
      </c>
      <c r="C12" s="8" t="s">
        <v>0</v>
      </c>
      <c r="D12" s="7">
        <f>_xlfn.IFNA(ROW(INDEX(all_items!$A$1:$A$57,MATCH(B12,all_items!$A$1:$A$57,0))), "")</f>
        <v>2</v>
      </c>
      <c r="E12" s="7">
        <f>_xlfn.IFNA(ROW(INDEX(all_locations!$E$1:$E$51,MATCH(A12,all_locations!$E$1:$E$51,0))), "")</f>
        <v>2</v>
      </c>
      <c r="F12" t="str">
        <f t="shared" si="0"/>
        <v>non_refill</v>
      </c>
    </row>
    <row r="13" spans="1:6" x14ac:dyDescent="0.25">
      <c r="A13" s="8" t="s">
        <v>5</v>
      </c>
      <c r="B13" s="8" t="s">
        <v>162</v>
      </c>
      <c r="C13" s="8" t="s">
        <v>24</v>
      </c>
      <c r="D13" s="7">
        <f>_xlfn.IFNA(ROW(INDEX(all_items!$A$1:$A$57,MATCH(B13,all_items!$A$1:$A$57,0))), "")</f>
        <v>4</v>
      </c>
      <c r="E13" s="7">
        <f>_xlfn.IFNA(ROW(INDEX(all_locations!$E$1:$E$51,MATCH(A13,all_locations!$E$1:$E$51,0))), "")</f>
        <v>2</v>
      </c>
      <c r="F13" t="str">
        <f t="shared" si="0"/>
        <v>non_refill</v>
      </c>
    </row>
    <row r="14" spans="1:6" x14ac:dyDescent="0.25">
      <c r="A14" s="8" t="s">
        <v>5</v>
      </c>
      <c r="B14" s="8" t="s">
        <v>164</v>
      </c>
      <c r="C14" s="12" t="s">
        <v>11</v>
      </c>
      <c r="D14" s="7">
        <f>_xlfn.IFNA(ROW(INDEX(all_items!$A$1:$A$57,MATCH(B14,all_items!$A$1:$A$57,0))), "")</f>
        <v>6</v>
      </c>
      <c r="E14" s="7">
        <f>_xlfn.IFNA(ROW(INDEX(all_locations!$E$1:$E$51,MATCH(A14,all_locations!$E$1:$E$51,0))), "")</f>
        <v>2</v>
      </c>
      <c r="F14" t="str">
        <f t="shared" si="0"/>
        <v>non_refill</v>
      </c>
    </row>
    <row r="15" spans="1:6" x14ac:dyDescent="0.25">
      <c r="A15" s="8" t="s">
        <v>5</v>
      </c>
      <c r="B15" s="8" t="s">
        <v>165</v>
      </c>
      <c r="C15" s="8" t="s">
        <v>0</v>
      </c>
      <c r="D15" s="7">
        <f>_xlfn.IFNA(ROW(INDEX(all_items!$A$1:$A$57,MATCH(B15,all_items!$A$1:$A$57,0))), "")</f>
        <v>7</v>
      </c>
      <c r="E15" s="7">
        <f>_xlfn.IFNA(ROW(INDEX(all_locations!$E$1:$E$51,MATCH(A15,all_locations!$E$1:$E$51,0))), "")</f>
        <v>2</v>
      </c>
      <c r="F15" t="str">
        <f t="shared" si="0"/>
        <v>non_refill</v>
      </c>
    </row>
    <row r="16" spans="1:6" x14ac:dyDescent="0.25">
      <c r="A16" s="8" t="s">
        <v>5</v>
      </c>
      <c r="B16" s="8" t="s">
        <v>167</v>
      </c>
      <c r="C16" s="8" t="s">
        <v>17</v>
      </c>
      <c r="D16" s="7">
        <f>_xlfn.IFNA(ROW(INDEX(all_items!$A$1:$A$57,MATCH(B16,all_items!$A$1:$A$57,0))), "")</f>
        <v>9</v>
      </c>
      <c r="E16" s="7">
        <f>_xlfn.IFNA(ROW(INDEX(all_locations!$E$1:$E$51,MATCH(A16,all_locations!$E$1:$E$51,0))), "")</f>
        <v>2</v>
      </c>
      <c r="F16" t="str">
        <f t="shared" si="0"/>
        <v>non_refill</v>
      </c>
    </row>
    <row r="17" spans="1:6" x14ac:dyDescent="0.25">
      <c r="A17" s="8" t="s">
        <v>5</v>
      </c>
      <c r="B17" s="8" t="s">
        <v>168</v>
      </c>
      <c r="C17" s="8" t="s">
        <v>0</v>
      </c>
      <c r="D17" s="7">
        <f>_xlfn.IFNA(ROW(INDEX(all_items!$A$1:$A$57,MATCH(B17,all_items!$A$1:$A$57,0))), "")</f>
        <v>10</v>
      </c>
      <c r="E17" s="7">
        <f>_xlfn.IFNA(ROW(INDEX(all_locations!$E$1:$E$51,MATCH(A17,all_locations!$E$1:$E$51,0))), "")</f>
        <v>2</v>
      </c>
      <c r="F17" t="str">
        <f t="shared" si="0"/>
        <v>non_refill</v>
      </c>
    </row>
    <row r="18" spans="1:6" x14ac:dyDescent="0.25">
      <c r="A18" s="8" t="s">
        <v>5</v>
      </c>
      <c r="B18" s="8" t="s">
        <v>169</v>
      </c>
      <c r="C18" s="8" t="s">
        <v>0</v>
      </c>
      <c r="D18" s="7">
        <f>_xlfn.IFNA(ROW(INDEX(all_items!$A$1:$A$57,MATCH(B18,all_items!$A$1:$A$57,0))), "")</f>
        <v>11</v>
      </c>
      <c r="E18" s="7">
        <f>_xlfn.IFNA(ROW(INDEX(all_locations!$E$1:$E$51,MATCH(A18,all_locations!$E$1:$E$51,0))), "")</f>
        <v>2</v>
      </c>
      <c r="F18" t="str">
        <f t="shared" si="0"/>
        <v>non_refill</v>
      </c>
    </row>
    <row r="19" spans="1:6" x14ac:dyDescent="0.25">
      <c r="A19" s="8" t="s">
        <v>5</v>
      </c>
      <c r="B19" s="8" t="s">
        <v>170</v>
      </c>
      <c r="C19" s="16" t="s">
        <v>15</v>
      </c>
      <c r="D19" s="7">
        <f>_xlfn.IFNA(ROW(INDEX(all_items!$A$1:$A$57,MATCH(B19,all_items!$A$1:$A$57,0))), "")</f>
        <v>12</v>
      </c>
      <c r="E19" s="7">
        <f>_xlfn.IFNA(ROW(INDEX(all_locations!$E$1:$E$51,MATCH(A19,all_locations!$E$1:$E$51,0))), "")</f>
        <v>2</v>
      </c>
      <c r="F19" t="str">
        <f t="shared" si="0"/>
        <v>non_refill</v>
      </c>
    </row>
    <row r="20" spans="1:6" x14ac:dyDescent="0.25">
      <c r="A20" s="8" t="s">
        <v>36</v>
      </c>
      <c r="B20" s="8" t="s">
        <v>159</v>
      </c>
      <c r="C20" s="14" t="s">
        <v>0</v>
      </c>
      <c r="D20" s="7">
        <f>_xlfn.IFNA(ROW(INDEX(all_items!$A$1:$A$57,MATCH(B20,all_items!$A$1:$A$57,0))), "")</f>
        <v>1</v>
      </c>
      <c r="E20" s="7">
        <f>_xlfn.IFNA(ROW(INDEX(all_locations!$E$1:$E$51,MATCH(A20,all_locations!$E$1:$E$51,0))), "")</f>
        <v>3</v>
      </c>
      <c r="F20" t="str">
        <f t="shared" si="0"/>
        <v>non_refill</v>
      </c>
    </row>
    <row r="21" spans="1:6" x14ac:dyDescent="0.25">
      <c r="A21" s="8" t="s">
        <v>36</v>
      </c>
      <c r="B21" s="8" t="s">
        <v>160</v>
      </c>
      <c r="C21" s="8" t="s">
        <v>0</v>
      </c>
      <c r="D21" s="7">
        <f>_xlfn.IFNA(ROW(INDEX(all_items!$A$1:$A$57,MATCH(B21,all_items!$A$1:$A$57,0))), "")</f>
        <v>2</v>
      </c>
      <c r="E21" s="7">
        <f>_xlfn.IFNA(ROW(INDEX(all_locations!$E$1:$E$51,MATCH(A21,all_locations!$E$1:$E$51,0))), "")</f>
        <v>3</v>
      </c>
      <c r="F21" t="str">
        <f t="shared" si="0"/>
        <v>non_refill</v>
      </c>
    </row>
    <row r="22" spans="1:6" x14ac:dyDescent="0.25">
      <c r="A22" s="8" t="s">
        <v>36</v>
      </c>
      <c r="B22" s="8" t="s">
        <v>162</v>
      </c>
      <c r="C22" s="12" t="s">
        <v>15</v>
      </c>
      <c r="D22" s="7">
        <f>_xlfn.IFNA(ROW(INDEX(all_items!$A$1:$A$57,MATCH(B22,all_items!$A$1:$A$57,0))), "")</f>
        <v>4</v>
      </c>
      <c r="E22" s="7">
        <f>_xlfn.IFNA(ROW(INDEX(all_locations!$E$1:$E$51,MATCH(A22,all_locations!$E$1:$E$51,0))), "")</f>
        <v>3</v>
      </c>
      <c r="F22" t="str">
        <f t="shared" si="0"/>
        <v>non_refill</v>
      </c>
    </row>
    <row r="23" spans="1:6" x14ac:dyDescent="0.25">
      <c r="A23" s="8" t="s">
        <v>36</v>
      </c>
      <c r="B23" s="8" t="s">
        <v>164</v>
      </c>
      <c r="C23" s="8" t="s">
        <v>17</v>
      </c>
      <c r="D23" s="7">
        <f>_xlfn.IFNA(ROW(INDEX(all_items!$A$1:$A$57,MATCH(B23,all_items!$A$1:$A$57,0))), "")</f>
        <v>6</v>
      </c>
      <c r="E23" s="7">
        <f>_xlfn.IFNA(ROW(INDEX(all_locations!$E$1:$E$51,MATCH(A23,all_locations!$E$1:$E$51,0))), "")</f>
        <v>3</v>
      </c>
      <c r="F23" t="str">
        <f t="shared" si="0"/>
        <v>non_refill</v>
      </c>
    </row>
    <row r="24" spans="1:6" x14ac:dyDescent="0.25">
      <c r="A24" s="8" t="s">
        <v>36</v>
      </c>
      <c r="B24" s="8" t="s">
        <v>165</v>
      </c>
      <c r="C24" s="8" t="s">
        <v>0</v>
      </c>
      <c r="D24" s="7">
        <f>_xlfn.IFNA(ROW(INDEX(all_items!$A$1:$A$57,MATCH(B24,all_items!$A$1:$A$57,0))), "")</f>
        <v>7</v>
      </c>
      <c r="E24" s="7">
        <f>_xlfn.IFNA(ROW(INDEX(all_locations!$E$1:$E$51,MATCH(A24,all_locations!$E$1:$E$51,0))), "")</f>
        <v>3</v>
      </c>
      <c r="F24" t="str">
        <f t="shared" si="0"/>
        <v>non_refill</v>
      </c>
    </row>
    <row r="25" spans="1:6" x14ac:dyDescent="0.25">
      <c r="A25" s="8" t="s">
        <v>36</v>
      </c>
      <c r="B25" s="8" t="s">
        <v>167</v>
      </c>
      <c r="C25" s="8" t="s">
        <v>0</v>
      </c>
      <c r="D25" s="7">
        <f>_xlfn.IFNA(ROW(INDEX(all_items!$A$1:$A$57,MATCH(B25,all_items!$A$1:$A$57,0))), "")</f>
        <v>9</v>
      </c>
      <c r="E25" s="7">
        <f>_xlfn.IFNA(ROW(INDEX(all_locations!$E$1:$E$51,MATCH(A25,all_locations!$E$1:$E$51,0))), "")</f>
        <v>3</v>
      </c>
      <c r="F25" t="str">
        <f t="shared" si="0"/>
        <v>non_refill</v>
      </c>
    </row>
    <row r="26" spans="1:6" x14ac:dyDescent="0.25">
      <c r="A26" s="8" t="s">
        <v>36</v>
      </c>
      <c r="B26" s="8" t="s">
        <v>168</v>
      </c>
      <c r="C26" s="8" t="s">
        <v>0</v>
      </c>
      <c r="D26" s="7">
        <f>_xlfn.IFNA(ROW(INDEX(all_items!$A$1:$A$57,MATCH(B26,all_items!$A$1:$A$57,0))), "")</f>
        <v>10</v>
      </c>
      <c r="E26" s="7">
        <f>_xlfn.IFNA(ROW(INDEX(all_locations!$E$1:$E$51,MATCH(A26,all_locations!$E$1:$E$51,0))), "")</f>
        <v>3</v>
      </c>
      <c r="F26" t="str">
        <f t="shared" si="0"/>
        <v>non_refill</v>
      </c>
    </row>
    <row r="27" spans="1:6" x14ac:dyDescent="0.25">
      <c r="A27" s="8" t="s">
        <v>36</v>
      </c>
      <c r="B27" s="8" t="s">
        <v>169</v>
      </c>
      <c r="C27" s="16" t="s">
        <v>11</v>
      </c>
      <c r="D27" s="7">
        <f>_xlfn.IFNA(ROW(INDEX(all_items!$A$1:$A$57,MATCH(B27,all_items!$A$1:$A$57,0))), "")</f>
        <v>11</v>
      </c>
      <c r="E27" s="7">
        <f>_xlfn.IFNA(ROW(INDEX(all_locations!$E$1:$E$51,MATCH(A27,all_locations!$E$1:$E$51,0))), "")</f>
        <v>3</v>
      </c>
      <c r="F27" t="str">
        <f t="shared" si="0"/>
        <v>non_refill</v>
      </c>
    </row>
    <row r="28" spans="1:6" x14ac:dyDescent="0.25">
      <c r="A28" s="8" t="s">
        <v>38</v>
      </c>
      <c r="B28" s="8" t="s">
        <v>159</v>
      </c>
      <c r="C28" s="15" t="s">
        <v>11</v>
      </c>
      <c r="D28" s="7">
        <f>_xlfn.IFNA(ROW(INDEX(all_items!$A$1:$A$57,MATCH(B28,all_items!$A$1:$A$57,0))), "")</f>
        <v>1</v>
      </c>
      <c r="E28" s="7">
        <f>_xlfn.IFNA(ROW(INDEX(all_locations!$E$1:$E$51,MATCH(A28,all_locations!$E$1:$E$51,0))), "")</f>
        <v>4</v>
      </c>
      <c r="F28" t="str">
        <f t="shared" si="0"/>
        <v>non_refill</v>
      </c>
    </row>
    <row r="29" spans="1:6" x14ac:dyDescent="0.25">
      <c r="A29" s="8" t="s">
        <v>38</v>
      </c>
      <c r="B29" s="8" t="s">
        <v>160</v>
      </c>
      <c r="C29" s="8" t="s">
        <v>17</v>
      </c>
      <c r="D29" s="7">
        <f>_xlfn.IFNA(ROW(INDEX(all_items!$A$1:$A$57,MATCH(B29,all_items!$A$1:$A$57,0))), "")</f>
        <v>2</v>
      </c>
      <c r="E29" s="7">
        <f>_xlfn.IFNA(ROW(INDEX(all_locations!$E$1:$E$51,MATCH(A29,all_locations!$E$1:$E$51,0))), "")</f>
        <v>4</v>
      </c>
      <c r="F29" t="str">
        <f t="shared" si="0"/>
        <v>non_refill</v>
      </c>
    </row>
    <row r="30" spans="1:6" x14ac:dyDescent="0.25">
      <c r="A30" s="8" t="s">
        <v>38</v>
      </c>
      <c r="B30" s="8" t="s">
        <v>162</v>
      </c>
      <c r="C30" s="8" t="s">
        <v>0</v>
      </c>
      <c r="D30" s="7">
        <f>_xlfn.IFNA(ROW(INDEX(all_items!$A$1:$A$57,MATCH(B30,all_items!$A$1:$A$57,0))), "")</f>
        <v>4</v>
      </c>
      <c r="E30" s="7">
        <f>_xlfn.IFNA(ROW(INDEX(all_locations!$E$1:$E$51,MATCH(A30,all_locations!$E$1:$E$51,0))), "")</f>
        <v>4</v>
      </c>
      <c r="F30" t="str">
        <f t="shared" si="0"/>
        <v>non_refill</v>
      </c>
    </row>
    <row r="31" spans="1:6" x14ac:dyDescent="0.25">
      <c r="A31" s="8" t="s">
        <v>38</v>
      </c>
      <c r="B31" s="8" t="s">
        <v>164</v>
      </c>
      <c r="C31" s="8" t="s">
        <v>0</v>
      </c>
      <c r="D31" s="7">
        <f>_xlfn.IFNA(ROW(INDEX(all_items!$A$1:$A$57,MATCH(B31,all_items!$A$1:$A$57,0))), "")</f>
        <v>6</v>
      </c>
      <c r="E31" s="7">
        <f>_xlfn.IFNA(ROW(INDEX(all_locations!$E$1:$E$51,MATCH(A31,all_locations!$E$1:$E$51,0))), "")</f>
        <v>4</v>
      </c>
      <c r="F31" t="str">
        <f t="shared" si="0"/>
        <v>non_refill</v>
      </c>
    </row>
    <row r="32" spans="1:6" x14ac:dyDescent="0.25">
      <c r="A32" s="8" t="s">
        <v>38</v>
      </c>
      <c r="B32" s="8" t="s">
        <v>165</v>
      </c>
      <c r="C32" s="12" t="s">
        <v>15</v>
      </c>
      <c r="D32" s="7">
        <f>_xlfn.IFNA(ROW(INDEX(all_items!$A$1:$A$57,MATCH(B32,all_items!$A$1:$A$57,0))), "")</f>
        <v>7</v>
      </c>
      <c r="E32" s="7">
        <f>_xlfn.IFNA(ROW(INDEX(all_locations!$E$1:$E$51,MATCH(A32,all_locations!$E$1:$E$51,0))), "")</f>
        <v>4</v>
      </c>
      <c r="F32" t="str">
        <f t="shared" si="0"/>
        <v>non_refill</v>
      </c>
    </row>
    <row r="33" spans="1:6" x14ac:dyDescent="0.25">
      <c r="A33" s="8" t="s">
        <v>38</v>
      </c>
      <c r="B33" s="8" t="s">
        <v>167</v>
      </c>
      <c r="C33" s="8" t="s">
        <v>0</v>
      </c>
      <c r="D33" s="7">
        <f>_xlfn.IFNA(ROW(INDEX(all_items!$A$1:$A$57,MATCH(B33,all_items!$A$1:$A$57,0))), "")</f>
        <v>9</v>
      </c>
      <c r="E33" s="7">
        <f>_xlfn.IFNA(ROW(INDEX(all_locations!$E$1:$E$51,MATCH(A33,all_locations!$E$1:$E$51,0))), "")</f>
        <v>4</v>
      </c>
      <c r="F33" t="str">
        <f t="shared" si="0"/>
        <v>non_refill</v>
      </c>
    </row>
    <row r="34" spans="1:6" x14ac:dyDescent="0.25">
      <c r="A34" s="8" t="s">
        <v>38</v>
      </c>
      <c r="B34" s="8" t="s">
        <v>168</v>
      </c>
      <c r="C34" s="8" t="s">
        <v>0</v>
      </c>
      <c r="D34" s="7">
        <f>_xlfn.IFNA(ROW(INDEX(all_items!$A$1:$A$57,MATCH(B34,all_items!$A$1:$A$57,0))), "")</f>
        <v>10</v>
      </c>
      <c r="E34" s="7">
        <f>_xlfn.IFNA(ROW(INDEX(all_locations!$E$1:$E$51,MATCH(A34,all_locations!$E$1:$E$51,0))), "")</f>
        <v>4</v>
      </c>
      <c r="F34" t="str">
        <f t="shared" ref="F34:F65" si="1">IF(OR(B34="sabun_cuci_tangan",B34="tisu",B34="pengharum_ruangan"),"refill","non_refill")</f>
        <v>non_refill</v>
      </c>
    </row>
    <row r="35" spans="1:6" x14ac:dyDescent="0.25">
      <c r="A35" s="8" t="s">
        <v>38</v>
      </c>
      <c r="B35" s="8" t="s">
        <v>169</v>
      </c>
      <c r="C35" s="11" t="s">
        <v>0</v>
      </c>
      <c r="D35" s="7">
        <f>_xlfn.IFNA(ROW(INDEX(all_items!$A$1:$A$57,MATCH(B35,all_items!$A$1:$A$57,0))), "")</f>
        <v>11</v>
      </c>
      <c r="E35" s="7">
        <f>_xlfn.IFNA(ROW(INDEX(all_locations!$E$1:$E$51,MATCH(A35,all_locations!$E$1:$E$51,0))), "")</f>
        <v>4</v>
      </c>
      <c r="F35" t="str">
        <f t="shared" si="1"/>
        <v>non_refill</v>
      </c>
    </row>
    <row r="36" spans="1:6" x14ac:dyDescent="0.25">
      <c r="A36" s="8" t="s">
        <v>80</v>
      </c>
      <c r="B36" s="8" t="s">
        <v>159</v>
      </c>
      <c r="C36" s="14" t="s">
        <v>0</v>
      </c>
      <c r="D36" s="7">
        <f>_xlfn.IFNA(ROW(INDEX(all_items!$A$1:$A$57,MATCH(B36,all_items!$A$1:$A$57,0))), "")</f>
        <v>1</v>
      </c>
      <c r="E36" s="7">
        <f>_xlfn.IFNA(ROW(INDEX(all_locations!$E$1:$E$51,MATCH(A36,all_locations!$E$1:$E$51,0))), "")</f>
        <v>5</v>
      </c>
      <c r="F36" t="str">
        <f t="shared" si="1"/>
        <v>non_refill</v>
      </c>
    </row>
    <row r="37" spans="1:6" x14ac:dyDescent="0.25">
      <c r="A37" s="8" t="s">
        <v>80</v>
      </c>
      <c r="B37" s="8" t="s">
        <v>160</v>
      </c>
      <c r="C37" s="8" t="s">
        <v>0</v>
      </c>
      <c r="D37" s="7">
        <f>_xlfn.IFNA(ROW(INDEX(all_items!$A$1:$A$57,MATCH(B37,all_items!$A$1:$A$57,0))), "")</f>
        <v>2</v>
      </c>
      <c r="E37" s="7">
        <f>_xlfn.IFNA(ROW(INDEX(all_locations!$E$1:$E$51,MATCH(A37,all_locations!$E$1:$E$51,0))), "")</f>
        <v>5</v>
      </c>
      <c r="F37" t="str">
        <f t="shared" si="1"/>
        <v>non_refill</v>
      </c>
    </row>
    <row r="38" spans="1:6" x14ac:dyDescent="0.25">
      <c r="A38" s="8" t="s">
        <v>80</v>
      </c>
      <c r="B38" s="8" t="s">
        <v>162</v>
      </c>
      <c r="C38" s="12" t="s">
        <v>11</v>
      </c>
      <c r="D38" s="7">
        <f>_xlfn.IFNA(ROW(INDEX(all_items!$A$1:$A$57,MATCH(B38,all_items!$A$1:$A$57,0))), "")</f>
        <v>4</v>
      </c>
      <c r="E38" s="7">
        <f>_xlfn.IFNA(ROW(INDEX(all_locations!$E$1:$E$51,MATCH(A38,all_locations!$E$1:$E$51,0))), "")</f>
        <v>5</v>
      </c>
      <c r="F38" t="str">
        <f t="shared" si="1"/>
        <v>non_refill</v>
      </c>
    </row>
    <row r="39" spans="1:6" x14ac:dyDescent="0.25">
      <c r="A39" s="8" t="s">
        <v>80</v>
      </c>
      <c r="B39" s="8" t="s">
        <v>164</v>
      </c>
      <c r="C39" s="12" t="s">
        <v>15</v>
      </c>
      <c r="D39" s="7">
        <f>_xlfn.IFNA(ROW(INDEX(all_items!$A$1:$A$57,MATCH(B39,all_items!$A$1:$A$57,0))), "")</f>
        <v>6</v>
      </c>
      <c r="E39" s="7">
        <f>_xlfn.IFNA(ROW(INDEX(all_locations!$E$1:$E$51,MATCH(A39,all_locations!$E$1:$E$51,0))), "")</f>
        <v>5</v>
      </c>
      <c r="F39" t="str">
        <f t="shared" si="1"/>
        <v>non_refill</v>
      </c>
    </row>
    <row r="40" spans="1:6" x14ac:dyDescent="0.25">
      <c r="A40" s="8" t="s">
        <v>80</v>
      </c>
      <c r="B40" s="8" t="s">
        <v>165</v>
      </c>
      <c r="C40" s="8" t="s">
        <v>0</v>
      </c>
      <c r="D40" s="7">
        <f>_xlfn.IFNA(ROW(INDEX(all_items!$A$1:$A$57,MATCH(B40,all_items!$A$1:$A$57,0))), "")</f>
        <v>7</v>
      </c>
      <c r="E40" s="7">
        <f>_xlfn.IFNA(ROW(INDEX(all_locations!$E$1:$E$51,MATCH(A40,all_locations!$E$1:$E$51,0))), "")</f>
        <v>5</v>
      </c>
      <c r="F40" t="str">
        <f t="shared" si="1"/>
        <v>non_refill</v>
      </c>
    </row>
    <row r="41" spans="1:6" x14ac:dyDescent="0.25">
      <c r="A41" s="8" t="s">
        <v>80</v>
      </c>
      <c r="B41" s="8" t="s">
        <v>167</v>
      </c>
      <c r="C41" s="8" t="s">
        <v>17</v>
      </c>
      <c r="D41" s="7">
        <f>_xlfn.IFNA(ROW(INDEX(all_items!$A$1:$A$57,MATCH(B41,all_items!$A$1:$A$57,0))), "")</f>
        <v>9</v>
      </c>
      <c r="E41" s="7">
        <f>_xlfn.IFNA(ROW(INDEX(all_locations!$E$1:$E$51,MATCH(A41,all_locations!$E$1:$E$51,0))), "")</f>
        <v>5</v>
      </c>
      <c r="F41" t="str">
        <f t="shared" si="1"/>
        <v>non_refill</v>
      </c>
    </row>
    <row r="42" spans="1:6" x14ac:dyDescent="0.25">
      <c r="A42" s="8" t="s">
        <v>80</v>
      </c>
      <c r="B42" s="8" t="s">
        <v>168</v>
      </c>
      <c r="C42" s="8" t="s">
        <v>0</v>
      </c>
      <c r="D42" s="7">
        <f>_xlfn.IFNA(ROW(INDEX(all_items!$A$1:$A$57,MATCH(B42,all_items!$A$1:$A$57,0))), "")</f>
        <v>10</v>
      </c>
      <c r="E42" s="7">
        <f>_xlfn.IFNA(ROW(INDEX(all_locations!$E$1:$E$51,MATCH(A42,all_locations!$E$1:$E$51,0))), "")</f>
        <v>5</v>
      </c>
      <c r="F42" t="str">
        <f t="shared" si="1"/>
        <v>non_refill</v>
      </c>
    </row>
    <row r="43" spans="1:6" x14ac:dyDescent="0.25">
      <c r="A43" s="8" t="s">
        <v>80</v>
      </c>
      <c r="B43" s="8" t="s">
        <v>169</v>
      </c>
      <c r="C43" s="8" t="s">
        <v>0</v>
      </c>
      <c r="D43" s="7">
        <f>_xlfn.IFNA(ROW(INDEX(all_items!$A$1:$A$57,MATCH(B43,all_items!$A$1:$A$57,0))), "")</f>
        <v>11</v>
      </c>
      <c r="E43" s="7">
        <f>_xlfn.IFNA(ROW(INDEX(all_locations!$E$1:$E$51,MATCH(A43,all_locations!$E$1:$E$51,0))), "")</f>
        <v>5</v>
      </c>
      <c r="F43" t="str">
        <f t="shared" si="1"/>
        <v>non_refill</v>
      </c>
    </row>
    <row r="44" spans="1:6" x14ac:dyDescent="0.25">
      <c r="A44" s="8" t="s">
        <v>80</v>
      </c>
      <c r="B44" s="8" t="s">
        <v>171</v>
      </c>
      <c r="C44" s="8" t="s">
        <v>0</v>
      </c>
      <c r="D44" s="7">
        <f>_xlfn.IFNA(ROW(INDEX(all_items!$A$1:$A$57,MATCH(B44,all_items!$A$1:$A$57,0))), "")</f>
        <v>13</v>
      </c>
      <c r="E44" s="7">
        <f>_xlfn.IFNA(ROW(INDEX(all_locations!$E$1:$E$51,MATCH(A44,all_locations!$E$1:$E$51,0))), "")</f>
        <v>5</v>
      </c>
      <c r="F44" t="str">
        <f t="shared" si="1"/>
        <v>non_refill</v>
      </c>
    </row>
    <row r="45" spans="1:6" x14ac:dyDescent="0.25">
      <c r="A45" s="8" t="s">
        <v>80</v>
      </c>
      <c r="B45" s="8" t="s">
        <v>172</v>
      </c>
      <c r="C45" s="11" t="s">
        <v>0</v>
      </c>
      <c r="D45" s="7">
        <f>_xlfn.IFNA(ROW(INDEX(all_items!$A$1:$A$57,MATCH(B45,all_items!$A$1:$A$57,0))), "")</f>
        <v>14</v>
      </c>
      <c r="E45" s="7">
        <f>_xlfn.IFNA(ROW(INDEX(all_locations!$E$1:$E$51,MATCH(A45,all_locations!$E$1:$E$51,0))), "")</f>
        <v>5</v>
      </c>
      <c r="F45" t="str">
        <f t="shared" si="1"/>
        <v>refill</v>
      </c>
    </row>
    <row r="46" spans="1:6" x14ac:dyDescent="0.25">
      <c r="A46" s="8" t="s">
        <v>43</v>
      </c>
      <c r="B46" s="8" t="s">
        <v>159</v>
      </c>
      <c r="C46" s="14" t="s">
        <v>0</v>
      </c>
      <c r="D46" s="7">
        <f>_xlfn.IFNA(ROW(INDEX(all_items!$A$1:$A$57,MATCH(B46,all_items!$A$1:$A$57,0))), "")</f>
        <v>1</v>
      </c>
      <c r="E46" s="7">
        <f>_xlfn.IFNA(ROW(INDEX(all_locations!$E$1:$E$51,MATCH(A46,all_locations!$E$1:$E$51,0))), "")</f>
        <v>6</v>
      </c>
      <c r="F46" t="str">
        <f t="shared" si="1"/>
        <v>non_refill</v>
      </c>
    </row>
    <row r="47" spans="1:6" x14ac:dyDescent="0.25">
      <c r="A47" s="8" t="s">
        <v>43</v>
      </c>
      <c r="B47" s="8" t="s">
        <v>160</v>
      </c>
      <c r="C47" s="8" t="s">
        <v>0</v>
      </c>
      <c r="D47" s="7">
        <f>_xlfn.IFNA(ROW(INDEX(all_items!$A$1:$A$57,MATCH(B47,all_items!$A$1:$A$57,0))), "")</f>
        <v>2</v>
      </c>
      <c r="E47" s="7">
        <f>_xlfn.IFNA(ROW(INDEX(all_locations!$E$1:$E$51,MATCH(A47,all_locations!$E$1:$E$51,0))), "")</f>
        <v>6</v>
      </c>
      <c r="F47" t="str">
        <f t="shared" si="1"/>
        <v>non_refill</v>
      </c>
    </row>
    <row r="48" spans="1:6" x14ac:dyDescent="0.25">
      <c r="A48" s="8" t="s">
        <v>43</v>
      </c>
      <c r="B48" s="8" t="s">
        <v>165</v>
      </c>
      <c r="C48" s="8" t="s">
        <v>0</v>
      </c>
      <c r="D48" s="7">
        <f>_xlfn.IFNA(ROW(INDEX(all_items!$A$1:$A$57,MATCH(B48,all_items!$A$1:$A$57,0))), "")</f>
        <v>7</v>
      </c>
      <c r="E48" s="7">
        <f>_xlfn.IFNA(ROW(INDEX(all_locations!$E$1:$E$51,MATCH(A48,all_locations!$E$1:$E$51,0))), "")</f>
        <v>6</v>
      </c>
      <c r="F48" t="str">
        <f t="shared" si="1"/>
        <v>non_refill</v>
      </c>
    </row>
    <row r="49" spans="1:6" x14ac:dyDescent="0.25">
      <c r="A49" s="8" t="s">
        <v>43</v>
      </c>
      <c r="B49" s="8" t="s">
        <v>167</v>
      </c>
      <c r="C49" s="8" t="s">
        <v>0</v>
      </c>
      <c r="D49" s="7">
        <f>_xlfn.IFNA(ROW(INDEX(all_items!$A$1:$A$57,MATCH(B49,all_items!$A$1:$A$57,0))), "")</f>
        <v>9</v>
      </c>
      <c r="E49" s="7">
        <f>_xlfn.IFNA(ROW(INDEX(all_locations!$E$1:$E$51,MATCH(A49,all_locations!$E$1:$E$51,0))), "")</f>
        <v>6</v>
      </c>
      <c r="F49" t="str">
        <f t="shared" si="1"/>
        <v>non_refill</v>
      </c>
    </row>
    <row r="50" spans="1:6" x14ac:dyDescent="0.25">
      <c r="A50" s="8" t="s">
        <v>43</v>
      </c>
      <c r="B50" s="8" t="s">
        <v>171</v>
      </c>
      <c r="C50" s="8" t="s">
        <v>25</v>
      </c>
      <c r="D50" s="7">
        <f>_xlfn.IFNA(ROW(INDEX(all_items!$A$1:$A$57,MATCH(B50,all_items!$A$1:$A$57,0))), "")</f>
        <v>13</v>
      </c>
      <c r="E50" s="7">
        <f>_xlfn.IFNA(ROW(INDEX(all_locations!$E$1:$E$51,MATCH(A50,all_locations!$E$1:$E$51,0))), "")</f>
        <v>6</v>
      </c>
      <c r="F50" t="str">
        <f t="shared" si="1"/>
        <v>non_refill</v>
      </c>
    </row>
    <row r="51" spans="1:6" x14ac:dyDescent="0.25">
      <c r="A51" s="8" t="s">
        <v>43</v>
      </c>
      <c r="B51" s="8" t="s">
        <v>172</v>
      </c>
      <c r="C51" s="12" t="s">
        <v>15</v>
      </c>
      <c r="D51" s="7">
        <f>_xlfn.IFNA(ROW(INDEX(all_items!$A$1:$A$57,MATCH(B51,all_items!$A$1:$A$57,0))), "")</f>
        <v>14</v>
      </c>
      <c r="E51" s="7">
        <f>_xlfn.IFNA(ROW(INDEX(all_locations!$E$1:$E$51,MATCH(A51,all_locations!$E$1:$E$51,0))), "")</f>
        <v>6</v>
      </c>
      <c r="F51" t="str">
        <f t="shared" si="1"/>
        <v>refill</v>
      </c>
    </row>
    <row r="52" spans="1:6" x14ac:dyDescent="0.25">
      <c r="A52" s="8" t="s">
        <v>43</v>
      </c>
      <c r="B52" s="8" t="s">
        <v>173</v>
      </c>
      <c r="C52" s="8" t="s">
        <v>0</v>
      </c>
      <c r="D52" s="7">
        <f>_xlfn.IFNA(ROW(INDEX(all_items!$A$1:$A$57,MATCH(B52,all_items!$A$1:$A$57,0))), "")</f>
        <v>15</v>
      </c>
      <c r="E52" s="7">
        <f>_xlfn.IFNA(ROW(INDEX(all_locations!$E$1:$E$51,MATCH(A52,all_locations!$E$1:$E$51,0))), "")</f>
        <v>6</v>
      </c>
      <c r="F52" t="str">
        <f t="shared" si="1"/>
        <v>non_refill</v>
      </c>
    </row>
    <row r="53" spans="1:6" x14ac:dyDescent="0.25">
      <c r="A53" s="8" t="s">
        <v>43</v>
      </c>
      <c r="B53" s="8" t="s">
        <v>174</v>
      </c>
      <c r="C53" s="12" t="s">
        <v>11</v>
      </c>
      <c r="D53" s="7">
        <f>_xlfn.IFNA(ROW(INDEX(all_items!$A$1:$A$57,MATCH(B53,all_items!$A$1:$A$57,0))), "")</f>
        <v>17</v>
      </c>
      <c r="E53" s="7">
        <f>_xlfn.IFNA(ROW(INDEX(all_locations!$E$1:$E$51,MATCH(A53,all_locations!$E$1:$E$51,0))), "")</f>
        <v>6</v>
      </c>
      <c r="F53" t="str">
        <f t="shared" si="1"/>
        <v>non_refill</v>
      </c>
    </row>
    <row r="54" spans="1:6" x14ac:dyDescent="0.25">
      <c r="A54" s="8" t="s">
        <v>43</v>
      </c>
      <c r="B54" s="8" t="s">
        <v>175</v>
      </c>
      <c r="C54" s="8" t="s">
        <v>17</v>
      </c>
      <c r="D54" s="7">
        <f>_xlfn.IFNA(ROW(INDEX(all_items!$A$1:$A$57,MATCH(B54,all_items!$A$1:$A$57,0))), "")</f>
        <v>18</v>
      </c>
      <c r="E54" s="7">
        <f>_xlfn.IFNA(ROW(INDEX(all_locations!$E$1:$E$51,MATCH(A54,all_locations!$E$1:$E$51,0))), "")</f>
        <v>6</v>
      </c>
      <c r="F54" t="str">
        <f t="shared" si="1"/>
        <v>refill</v>
      </c>
    </row>
    <row r="55" spans="1:6" x14ac:dyDescent="0.25">
      <c r="A55" s="8" t="s">
        <v>43</v>
      </c>
      <c r="B55" s="8" t="s">
        <v>176</v>
      </c>
      <c r="C55" s="11" t="s">
        <v>0</v>
      </c>
      <c r="D55" s="7">
        <f>_xlfn.IFNA(ROW(INDEX(all_items!$A$1:$A$57,MATCH(B55,all_items!$A$1:$A$57,0))), "")</f>
        <v>19</v>
      </c>
      <c r="E55" s="7">
        <f>_xlfn.IFNA(ROW(INDEX(all_locations!$E$1:$E$51,MATCH(A55,all_locations!$E$1:$E$51,0))), "")</f>
        <v>6</v>
      </c>
      <c r="F55" t="str">
        <f t="shared" si="1"/>
        <v>refill</v>
      </c>
    </row>
    <row r="56" spans="1:6" x14ac:dyDescent="0.25">
      <c r="A56" s="8" t="s">
        <v>46</v>
      </c>
      <c r="B56" s="8" t="s">
        <v>159</v>
      </c>
      <c r="C56" s="15" t="s">
        <v>11</v>
      </c>
      <c r="D56" s="7">
        <f>_xlfn.IFNA(ROW(INDEX(all_items!$A$1:$A$57,MATCH(B56,all_items!$A$1:$A$57,0))), "")</f>
        <v>1</v>
      </c>
      <c r="E56" s="7">
        <f>_xlfn.IFNA(ROW(INDEX(all_locations!$E$1:$E$51,MATCH(A56,all_locations!$E$1:$E$51,0))), "")</f>
        <v>7</v>
      </c>
      <c r="F56" t="str">
        <f t="shared" si="1"/>
        <v>non_refill</v>
      </c>
    </row>
    <row r="57" spans="1:6" x14ac:dyDescent="0.25">
      <c r="A57" s="8" t="s">
        <v>46</v>
      </c>
      <c r="B57" s="8" t="s">
        <v>160</v>
      </c>
      <c r="C57" s="8" t="s">
        <v>17</v>
      </c>
      <c r="D57" s="7">
        <f>_xlfn.IFNA(ROW(INDEX(all_items!$A$1:$A$57,MATCH(B57,all_items!$A$1:$A$57,0))), "")</f>
        <v>2</v>
      </c>
      <c r="E57" s="7">
        <f>_xlfn.IFNA(ROW(INDEX(all_locations!$E$1:$E$51,MATCH(A57,all_locations!$E$1:$E$51,0))), "")</f>
        <v>7</v>
      </c>
      <c r="F57" t="str">
        <f t="shared" si="1"/>
        <v>non_refill</v>
      </c>
    </row>
    <row r="58" spans="1:6" x14ac:dyDescent="0.25">
      <c r="A58" s="8" t="s">
        <v>46</v>
      </c>
      <c r="B58" s="8" t="s">
        <v>165</v>
      </c>
      <c r="C58" s="12" t="s">
        <v>15</v>
      </c>
      <c r="D58" s="7">
        <f>_xlfn.IFNA(ROW(INDEX(all_items!$A$1:$A$57,MATCH(B58,all_items!$A$1:$A$57,0))), "")</f>
        <v>7</v>
      </c>
      <c r="E58" s="7">
        <f>_xlfn.IFNA(ROW(INDEX(all_locations!$E$1:$E$51,MATCH(A58,all_locations!$E$1:$E$51,0))), "")</f>
        <v>7</v>
      </c>
      <c r="F58" t="str">
        <f t="shared" si="1"/>
        <v>non_refill</v>
      </c>
    </row>
    <row r="59" spans="1:6" x14ac:dyDescent="0.25">
      <c r="A59" s="8" t="s">
        <v>46</v>
      </c>
      <c r="B59" s="8" t="s">
        <v>165</v>
      </c>
      <c r="C59" s="8" t="s">
        <v>0</v>
      </c>
      <c r="D59" s="7">
        <f>_xlfn.IFNA(ROW(INDEX(all_items!$A$1:$A$57,MATCH(B59,all_items!$A$1:$A$57,0))), "")</f>
        <v>7</v>
      </c>
      <c r="E59" s="7">
        <f>_xlfn.IFNA(ROW(INDEX(all_locations!$E$1:$E$51,MATCH(A59,all_locations!$E$1:$E$51,0))), "")</f>
        <v>7</v>
      </c>
      <c r="F59" t="str">
        <f t="shared" si="1"/>
        <v>non_refill</v>
      </c>
    </row>
    <row r="60" spans="1:6" x14ac:dyDescent="0.25">
      <c r="A60" s="8" t="s">
        <v>46</v>
      </c>
      <c r="B60" s="8" t="s">
        <v>177</v>
      </c>
      <c r="C60" s="11" t="s">
        <v>0</v>
      </c>
      <c r="D60" s="7">
        <f>_xlfn.IFNA(ROW(INDEX(all_items!$A$1:$A$57,MATCH(B60,all_items!$A$1:$A$57,0))), "")</f>
        <v>20</v>
      </c>
      <c r="E60" s="7">
        <f>_xlfn.IFNA(ROW(INDEX(all_locations!$E$1:$E$51,MATCH(A60,all_locations!$E$1:$E$51,0))), "")</f>
        <v>7</v>
      </c>
      <c r="F60" t="str">
        <f t="shared" si="1"/>
        <v>non_refill</v>
      </c>
    </row>
    <row r="61" spans="1:6" x14ac:dyDescent="0.25">
      <c r="A61" s="8" t="s">
        <v>49</v>
      </c>
      <c r="B61" s="8" t="s">
        <v>159</v>
      </c>
      <c r="C61" s="14" t="s">
        <v>0</v>
      </c>
      <c r="D61" s="7">
        <f>_xlfn.IFNA(ROW(INDEX(all_items!$A$1:$A$57,MATCH(B61,all_items!$A$1:$A$57,0))), "")</f>
        <v>1</v>
      </c>
      <c r="E61" s="7">
        <f>_xlfn.IFNA(ROW(INDEX(all_locations!$E$1:$E$51,MATCH(A61,all_locations!$E$1:$E$51,0))), "")</f>
        <v>8</v>
      </c>
      <c r="F61" t="str">
        <f t="shared" si="1"/>
        <v>non_refill</v>
      </c>
    </row>
    <row r="62" spans="1:6" x14ac:dyDescent="0.25">
      <c r="A62" s="8" t="s">
        <v>49</v>
      </c>
      <c r="B62" s="8" t="s">
        <v>160</v>
      </c>
      <c r="C62" s="8" t="s">
        <v>0</v>
      </c>
      <c r="D62" s="7">
        <f>_xlfn.IFNA(ROW(INDEX(all_items!$A$1:$A$57,MATCH(B62,all_items!$A$1:$A$57,0))), "")</f>
        <v>2</v>
      </c>
      <c r="E62" s="7">
        <f>_xlfn.IFNA(ROW(INDEX(all_locations!$E$1:$E$51,MATCH(A62,all_locations!$E$1:$E$51,0))), "")</f>
        <v>8</v>
      </c>
      <c r="F62" t="str">
        <f t="shared" si="1"/>
        <v>non_refill</v>
      </c>
    </row>
    <row r="63" spans="1:6" x14ac:dyDescent="0.25">
      <c r="A63" s="8" t="s">
        <v>49</v>
      </c>
      <c r="B63" s="8" t="s">
        <v>162</v>
      </c>
      <c r="C63" s="8" t="s">
        <v>0</v>
      </c>
      <c r="D63" s="7">
        <f>_xlfn.IFNA(ROW(INDEX(all_items!$A$1:$A$57,MATCH(B63,all_items!$A$1:$A$57,0))), "")</f>
        <v>4</v>
      </c>
      <c r="E63" s="7">
        <f>_xlfn.IFNA(ROW(INDEX(all_locations!$E$1:$E$51,MATCH(A63,all_locations!$E$1:$E$51,0))), "")</f>
        <v>8</v>
      </c>
      <c r="F63" t="str">
        <f t="shared" si="1"/>
        <v>non_refill</v>
      </c>
    </row>
    <row r="64" spans="1:6" x14ac:dyDescent="0.25">
      <c r="A64" s="8" t="s">
        <v>49</v>
      </c>
      <c r="B64" s="8" t="s">
        <v>165</v>
      </c>
      <c r="C64" s="8" t="s">
        <v>0</v>
      </c>
      <c r="D64" s="7">
        <f>_xlfn.IFNA(ROW(INDEX(all_items!$A$1:$A$57,MATCH(B64,all_items!$A$1:$A$57,0))), "")</f>
        <v>7</v>
      </c>
      <c r="E64" s="7">
        <f>_xlfn.IFNA(ROW(INDEX(all_locations!$E$1:$E$51,MATCH(A64,all_locations!$E$1:$E$51,0))), "")</f>
        <v>8</v>
      </c>
      <c r="F64" t="str">
        <f t="shared" si="1"/>
        <v>non_refill</v>
      </c>
    </row>
    <row r="65" spans="1:6" x14ac:dyDescent="0.25">
      <c r="A65" s="8" t="s">
        <v>49</v>
      </c>
      <c r="B65" s="8" t="s">
        <v>167</v>
      </c>
      <c r="C65" s="8" t="s">
        <v>24</v>
      </c>
      <c r="D65" s="7">
        <f>_xlfn.IFNA(ROW(INDEX(all_items!$A$1:$A$57,MATCH(B65,all_items!$A$1:$A$57,0))), "")</f>
        <v>9</v>
      </c>
      <c r="E65" s="7">
        <f>_xlfn.IFNA(ROW(INDEX(all_locations!$E$1:$E$51,MATCH(A65,all_locations!$E$1:$E$51,0))), "")</f>
        <v>8</v>
      </c>
      <c r="F65" t="str">
        <f t="shared" si="1"/>
        <v>non_refill</v>
      </c>
    </row>
    <row r="66" spans="1:6" x14ac:dyDescent="0.25">
      <c r="A66" s="8" t="s">
        <v>49</v>
      </c>
      <c r="B66" s="8" t="s">
        <v>169</v>
      </c>
      <c r="C66" s="8" t="s">
        <v>0</v>
      </c>
      <c r="D66" s="7">
        <f>_xlfn.IFNA(ROW(INDEX(all_items!$A$1:$A$57,MATCH(B66,all_items!$A$1:$A$57,0))), "")</f>
        <v>11</v>
      </c>
      <c r="E66" s="7">
        <f>_xlfn.IFNA(ROW(INDEX(all_locations!$E$1:$E$51,MATCH(A66,all_locations!$E$1:$E$51,0))), "")</f>
        <v>8</v>
      </c>
      <c r="F66" t="str">
        <f t="shared" ref="F66:F97" si="2">IF(OR(B66="sabun_cuci_tangan",B66="tisu",B66="pengharum_ruangan"),"refill","non_refill")</f>
        <v>non_refill</v>
      </c>
    </row>
    <row r="67" spans="1:6" x14ac:dyDescent="0.25">
      <c r="A67" s="8" t="s">
        <v>49</v>
      </c>
      <c r="B67" s="8" t="s">
        <v>161</v>
      </c>
      <c r="C67" s="11" t="s">
        <v>0</v>
      </c>
      <c r="D67" s="7">
        <f>_xlfn.IFNA(ROW(INDEX(all_items!$A$1:$A$57,MATCH(B67,all_items!$A$1:$A$57,0))), "")</f>
        <v>3</v>
      </c>
      <c r="E67" s="7">
        <f>_xlfn.IFNA(ROW(INDEX(all_locations!$E$1:$E$51,MATCH(A67,all_locations!$E$1:$E$51,0))), "")</f>
        <v>8</v>
      </c>
      <c r="F67" t="str">
        <f t="shared" si="2"/>
        <v>non_refill</v>
      </c>
    </row>
    <row r="68" spans="1:6" x14ac:dyDescent="0.25">
      <c r="A68" s="8" t="s">
        <v>49</v>
      </c>
      <c r="B68" s="8" t="s">
        <v>178</v>
      </c>
      <c r="C68" s="11" t="s">
        <v>0</v>
      </c>
      <c r="D68" s="7">
        <f>_xlfn.IFNA(ROW(INDEX(all_items!$A$1:$A$57,MATCH(B68,all_items!$A$1:$A$57,0))), "")</f>
        <v>21</v>
      </c>
      <c r="E68" s="7">
        <f>_xlfn.IFNA(ROW(INDEX(all_locations!$E$1:$E$51,MATCH(A68,all_locations!$E$1:$E$51,0))), "")</f>
        <v>8</v>
      </c>
      <c r="F68" t="str">
        <f t="shared" si="2"/>
        <v>non_refill</v>
      </c>
    </row>
    <row r="69" spans="1:6" x14ac:dyDescent="0.25">
      <c r="A69" s="8" t="s">
        <v>52</v>
      </c>
      <c r="B69" s="8" t="s">
        <v>159</v>
      </c>
      <c r="C69" s="15" t="s">
        <v>30</v>
      </c>
      <c r="D69" s="7">
        <f>_xlfn.IFNA(ROW(INDEX(all_items!$A$1:$A$57,MATCH(B69,all_items!$A$1:$A$57,0))), "")</f>
        <v>1</v>
      </c>
      <c r="E69" s="7">
        <f>_xlfn.IFNA(ROW(INDEX(all_locations!$E$1:$E$51,MATCH(A69,all_locations!$E$1:$E$51,0))), "")</f>
        <v>9</v>
      </c>
      <c r="F69" t="str">
        <f t="shared" si="2"/>
        <v>non_refill</v>
      </c>
    </row>
    <row r="70" spans="1:6" x14ac:dyDescent="0.25">
      <c r="A70" s="8" t="s">
        <v>52</v>
      </c>
      <c r="B70" s="8" t="s">
        <v>160</v>
      </c>
      <c r="C70" s="12" t="s">
        <v>31</v>
      </c>
      <c r="D70" s="7">
        <f>_xlfn.IFNA(ROW(INDEX(all_items!$A$1:$A$57,MATCH(B70,all_items!$A$1:$A$57,0))), "")</f>
        <v>2</v>
      </c>
      <c r="E70" s="7">
        <f>_xlfn.IFNA(ROW(INDEX(all_locations!$E$1:$E$51,MATCH(A70,all_locations!$E$1:$E$51,0))), "")</f>
        <v>9</v>
      </c>
      <c r="F70" t="str">
        <f t="shared" si="2"/>
        <v>non_refill</v>
      </c>
    </row>
    <row r="71" spans="1:6" x14ac:dyDescent="0.25">
      <c r="A71" s="8" t="s">
        <v>52</v>
      </c>
      <c r="B71" s="8" t="s">
        <v>162</v>
      </c>
      <c r="C71" s="12" t="s">
        <v>0</v>
      </c>
      <c r="D71" s="7">
        <f>_xlfn.IFNA(ROW(INDEX(all_items!$A$1:$A$57,MATCH(B71,all_items!$A$1:$A$57,0))), "")</f>
        <v>4</v>
      </c>
      <c r="E71" s="7">
        <f>_xlfn.IFNA(ROW(INDEX(all_locations!$E$1:$E$51,MATCH(A71,all_locations!$E$1:$E$51,0))), "")</f>
        <v>9</v>
      </c>
      <c r="F71" t="str">
        <f t="shared" si="2"/>
        <v>non_refill</v>
      </c>
    </row>
    <row r="72" spans="1:6" x14ac:dyDescent="0.25">
      <c r="A72" s="8" t="s">
        <v>52</v>
      </c>
      <c r="B72" s="8" t="s">
        <v>164</v>
      </c>
      <c r="C72" s="12" t="s">
        <v>13</v>
      </c>
      <c r="D72" s="7">
        <f>_xlfn.IFNA(ROW(INDEX(all_items!$A$1:$A$57,MATCH(B72,all_items!$A$1:$A$57,0))), "")</f>
        <v>6</v>
      </c>
      <c r="E72" s="7">
        <f>_xlfn.IFNA(ROW(INDEX(all_locations!$E$1:$E$51,MATCH(A72,all_locations!$E$1:$E$51,0))), "")</f>
        <v>9</v>
      </c>
      <c r="F72" t="str">
        <f t="shared" si="2"/>
        <v>non_refill</v>
      </c>
    </row>
    <row r="73" spans="1:6" x14ac:dyDescent="0.25">
      <c r="A73" s="8" t="s">
        <v>52</v>
      </c>
      <c r="B73" s="8" t="s">
        <v>165</v>
      </c>
      <c r="C73" s="12" t="s">
        <v>0</v>
      </c>
      <c r="D73" s="7">
        <f>_xlfn.IFNA(ROW(INDEX(all_items!$A$1:$A$57,MATCH(B73,all_items!$A$1:$A$57,0))), "")</f>
        <v>7</v>
      </c>
      <c r="E73" s="7">
        <f>_xlfn.IFNA(ROW(INDEX(all_locations!$E$1:$E$51,MATCH(A73,all_locations!$E$1:$E$51,0))), "")</f>
        <v>9</v>
      </c>
      <c r="F73" t="str">
        <f t="shared" si="2"/>
        <v>non_refill</v>
      </c>
    </row>
    <row r="74" spans="1:6" x14ac:dyDescent="0.25">
      <c r="A74" s="8" t="s">
        <v>52</v>
      </c>
      <c r="B74" s="8" t="s">
        <v>166</v>
      </c>
      <c r="C74" s="8" t="s">
        <v>14</v>
      </c>
      <c r="D74" s="7">
        <f>_xlfn.IFNA(ROW(INDEX(all_items!$A$1:$A$57,MATCH(B74,all_items!$A$1:$A$57,0))), "")</f>
        <v>8</v>
      </c>
      <c r="E74" s="7">
        <f>_xlfn.IFNA(ROW(INDEX(all_locations!$E$1:$E$51,MATCH(A74,all_locations!$E$1:$E$51,0))), "")</f>
        <v>9</v>
      </c>
      <c r="F74" t="str">
        <f t="shared" si="2"/>
        <v>non_refill</v>
      </c>
    </row>
    <row r="75" spans="1:6" x14ac:dyDescent="0.25">
      <c r="A75" s="8" t="s">
        <v>52</v>
      </c>
      <c r="B75" s="8" t="s">
        <v>167</v>
      </c>
      <c r="C75" s="8" t="s">
        <v>0</v>
      </c>
      <c r="D75" s="7">
        <f>_xlfn.IFNA(ROW(INDEX(all_items!$A$1:$A$57,MATCH(B75,all_items!$A$1:$A$57,0))), "")</f>
        <v>9</v>
      </c>
      <c r="E75" s="7">
        <f>_xlfn.IFNA(ROW(INDEX(all_locations!$E$1:$E$51,MATCH(A75,all_locations!$E$1:$E$51,0))), "")</f>
        <v>9</v>
      </c>
      <c r="F75" t="str">
        <f t="shared" si="2"/>
        <v>non_refill</v>
      </c>
    </row>
    <row r="76" spans="1:6" x14ac:dyDescent="0.25">
      <c r="A76" s="8" t="s">
        <v>52</v>
      </c>
      <c r="B76" s="8" t="s">
        <v>168</v>
      </c>
      <c r="C76" s="8" t="s">
        <v>17</v>
      </c>
      <c r="D76" s="7">
        <f>_xlfn.IFNA(ROW(INDEX(all_items!$A$1:$A$57,MATCH(B76,all_items!$A$1:$A$57,0))), "")</f>
        <v>10</v>
      </c>
      <c r="E76" s="7">
        <f>_xlfn.IFNA(ROW(INDEX(all_locations!$E$1:$E$51,MATCH(A76,all_locations!$E$1:$E$51,0))), "")</f>
        <v>9</v>
      </c>
      <c r="F76" t="str">
        <f t="shared" si="2"/>
        <v>non_refill</v>
      </c>
    </row>
    <row r="77" spans="1:6" x14ac:dyDescent="0.25">
      <c r="A77" s="8" t="s">
        <v>52</v>
      </c>
      <c r="B77" s="12" t="s">
        <v>161</v>
      </c>
      <c r="C77" s="16" t="s">
        <v>12</v>
      </c>
      <c r="D77" s="7">
        <f>_xlfn.IFNA(ROW(INDEX(all_items!$A$1:$A$57,MATCH(B77,all_items!$A$1:$A$57,0))), "")</f>
        <v>3</v>
      </c>
      <c r="E77" s="7">
        <f>_xlfn.IFNA(ROW(INDEX(all_locations!$E$1:$E$51,MATCH(A77,all_locations!$E$1:$E$51,0))), "")</f>
        <v>9</v>
      </c>
      <c r="F77" t="str">
        <f t="shared" si="2"/>
        <v>non_refill</v>
      </c>
    </row>
    <row r="78" spans="1:6" x14ac:dyDescent="0.25">
      <c r="A78" s="8" t="s">
        <v>52</v>
      </c>
      <c r="B78" s="12" t="s">
        <v>178</v>
      </c>
      <c r="C78" s="16" t="s">
        <v>12</v>
      </c>
      <c r="D78" s="7">
        <f>_xlfn.IFNA(ROW(INDEX(all_items!$A$1:$A$57,MATCH(B78,all_items!$A$1:$A$57,0))), "")</f>
        <v>21</v>
      </c>
      <c r="E78" s="7">
        <f>_xlfn.IFNA(ROW(INDEX(all_locations!$E$1:$E$51,MATCH(A78,all_locations!$E$1:$E$51,0))), "")</f>
        <v>9</v>
      </c>
      <c r="F78" t="str">
        <f t="shared" si="2"/>
        <v>non_refill</v>
      </c>
    </row>
    <row r="79" spans="1:6" x14ac:dyDescent="0.25">
      <c r="A79" s="8" t="s">
        <v>55</v>
      </c>
      <c r="B79" s="8" t="s">
        <v>159</v>
      </c>
      <c r="C79" s="14" t="s">
        <v>17</v>
      </c>
      <c r="D79" s="7">
        <f>_xlfn.IFNA(ROW(INDEX(all_items!$A$1:$A$57,MATCH(B79,all_items!$A$1:$A$57,0))), "")</f>
        <v>1</v>
      </c>
      <c r="E79" s="7">
        <f>_xlfn.IFNA(ROW(INDEX(all_locations!$E$1:$E$51,MATCH(A79,all_locations!$E$1:$E$51,0))), "")</f>
        <v>10</v>
      </c>
      <c r="F79" t="str">
        <f t="shared" si="2"/>
        <v>non_refill</v>
      </c>
    </row>
    <row r="80" spans="1:6" x14ac:dyDescent="0.25">
      <c r="A80" s="8" t="s">
        <v>55</v>
      </c>
      <c r="B80" s="8" t="s">
        <v>160</v>
      </c>
      <c r="C80" s="12" t="s">
        <v>11</v>
      </c>
      <c r="D80" s="7">
        <f>_xlfn.IFNA(ROW(INDEX(all_items!$A$1:$A$57,MATCH(B80,all_items!$A$1:$A$57,0))), "")</f>
        <v>2</v>
      </c>
      <c r="E80" s="7">
        <f>_xlfn.IFNA(ROW(INDEX(all_locations!$E$1:$E$51,MATCH(A80,all_locations!$E$1:$E$51,0))), "")</f>
        <v>10</v>
      </c>
      <c r="F80" t="str">
        <f t="shared" si="2"/>
        <v>non_refill</v>
      </c>
    </row>
    <row r="81" spans="1:6" x14ac:dyDescent="0.25">
      <c r="A81" s="8" t="s">
        <v>55</v>
      </c>
      <c r="B81" s="8" t="s">
        <v>164</v>
      </c>
      <c r="C81" s="8" t="s">
        <v>21</v>
      </c>
      <c r="D81" s="7">
        <f>_xlfn.IFNA(ROW(INDEX(all_items!$A$1:$A$57,MATCH(B81,all_items!$A$1:$A$57,0))), "")</f>
        <v>6</v>
      </c>
      <c r="E81" s="7">
        <f>_xlfn.IFNA(ROW(INDEX(all_locations!$E$1:$E$51,MATCH(A81,all_locations!$E$1:$E$51,0))), "")</f>
        <v>10</v>
      </c>
      <c r="F81" t="str">
        <f t="shared" si="2"/>
        <v>non_refill</v>
      </c>
    </row>
    <row r="82" spans="1:6" x14ac:dyDescent="0.25">
      <c r="A82" s="8" t="s">
        <v>55</v>
      </c>
      <c r="B82" s="8" t="s">
        <v>167</v>
      </c>
      <c r="C82" s="8" t="s">
        <v>22</v>
      </c>
      <c r="D82" s="7">
        <f>_xlfn.IFNA(ROW(INDEX(all_items!$A$1:$A$57,MATCH(B82,all_items!$A$1:$A$57,0))), "")</f>
        <v>9</v>
      </c>
      <c r="E82" s="7">
        <f>_xlfn.IFNA(ROW(INDEX(all_locations!$E$1:$E$51,MATCH(A82,all_locations!$E$1:$E$51,0))), "")</f>
        <v>10</v>
      </c>
      <c r="F82" t="str">
        <f t="shared" si="2"/>
        <v>non_refill</v>
      </c>
    </row>
    <row r="83" spans="1:6" x14ac:dyDescent="0.25">
      <c r="A83" s="8" t="s">
        <v>55</v>
      </c>
      <c r="B83" s="8" t="s">
        <v>171</v>
      </c>
      <c r="C83" s="12" t="s">
        <v>11</v>
      </c>
      <c r="D83" s="7">
        <f>_xlfn.IFNA(ROW(INDEX(all_items!$A$1:$A$57,MATCH(B83,all_items!$A$1:$A$57,0))), "")</f>
        <v>13</v>
      </c>
      <c r="E83" s="7">
        <f>_xlfn.IFNA(ROW(INDEX(all_locations!$E$1:$E$51,MATCH(A83,all_locations!$E$1:$E$51,0))), "")</f>
        <v>10</v>
      </c>
      <c r="F83" t="str">
        <f t="shared" si="2"/>
        <v>non_refill</v>
      </c>
    </row>
    <row r="84" spans="1:6" x14ac:dyDescent="0.25">
      <c r="A84" s="8" t="s">
        <v>55</v>
      </c>
      <c r="B84" s="8" t="s">
        <v>172</v>
      </c>
      <c r="C84" s="12" t="s">
        <v>15</v>
      </c>
      <c r="D84" s="7">
        <f>_xlfn.IFNA(ROW(INDEX(all_items!$A$1:$A$57,MATCH(B84,all_items!$A$1:$A$57,0))), "")</f>
        <v>14</v>
      </c>
      <c r="E84" s="7">
        <f>_xlfn.IFNA(ROW(INDEX(all_locations!$E$1:$E$51,MATCH(A84,all_locations!$E$1:$E$51,0))), "")</f>
        <v>10</v>
      </c>
      <c r="F84" t="str">
        <f t="shared" si="2"/>
        <v>refill</v>
      </c>
    </row>
    <row r="85" spans="1:6" x14ac:dyDescent="0.25">
      <c r="A85" s="8" t="s">
        <v>55</v>
      </c>
      <c r="B85" s="8" t="s">
        <v>173</v>
      </c>
      <c r="C85" s="8" t="s">
        <v>0</v>
      </c>
      <c r="D85" s="7">
        <f>_xlfn.IFNA(ROW(INDEX(all_items!$A$1:$A$57,MATCH(B85,all_items!$A$1:$A$57,0))), "")</f>
        <v>15</v>
      </c>
      <c r="E85" s="7">
        <f>_xlfn.IFNA(ROW(INDEX(all_locations!$E$1:$E$51,MATCH(A85,all_locations!$E$1:$E$51,0))), "")</f>
        <v>10</v>
      </c>
      <c r="F85" t="str">
        <f t="shared" si="2"/>
        <v>non_refill</v>
      </c>
    </row>
    <row r="86" spans="1:6" x14ac:dyDescent="0.25">
      <c r="A86" s="8" t="s">
        <v>55</v>
      </c>
      <c r="B86" s="8" t="s">
        <v>179</v>
      </c>
      <c r="C86" s="12" t="s">
        <v>15</v>
      </c>
      <c r="D86" s="7">
        <f>_xlfn.IFNA(ROW(INDEX(all_items!$A$1:$A$57,MATCH(B86,all_items!$A$1:$A$57,0))), "")</f>
        <v>22</v>
      </c>
      <c r="E86" s="7">
        <f>_xlfn.IFNA(ROW(INDEX(all_locations!$E$1:$E$51,MATCH(A86,all_locations!$E$1:$E$51,0))), "")</f>
        <v>10</v>
      </c>
      <c r="F86" t="str">
        <f t="shared" si="2"/>
        <v>non_refill</v>
      </c>
    </row>
    <row r="87" spans="1:6" x14ac:dyDescent="0.25">
      <c r="A87" s="8" t="s">
        <v>55</v>
      </c>
      <c r="B87" s="8" t="s">
        <v>180</v>
      </c>
      <c r="C87" s="11" t="s">
        <v>0</v>
      </c>
      <c r="D87" s="7">
        <f>_xlfn.IFNA(ROW(INDEX(all_items!$A$1:$A$57,MATCH(B87,all_items!$A$1:$A$57,0))), "")</f>
        <v>23</v>
      </c>
      <c r="E87" s="7">
        <f>_xlfn.IFNA(ROW(INDEX(all_locations!$E$1:$E$51,MATCH(A87,all_locations!$E$1:$E$51,0))), "")</f>
        <v>10</v>
      </c>
      <c r="F87" t="str">
        <f t="shared" si="2"/>
        <v>non_refill</v>
      </c>
    </row>
    <row r="88" spans="1:6" x14ac:dyDescent="0.25">
      <c r="A88" s="8" t="s">
        <v>58</v>
      </c>
      <c r="B88" s="8" t="s">
        <v>159</v>
      </c>
      <c r="C88" s="14" t="s">
        <v>0</v>
      </c>
      <c r="D88" s="7">
        <f>_xlfn.IFNA(ROW(INDEX(all_items!$A$1:$A$57,MATCH(B88,all_items!$A$1:$A$57,0))), "")</f>
        <v>1</v>
      </c>
      <c r="E88" s="7">
        <f>_xlfn.IFNA(ROW(INDEX(all_locations!$E$1:$E$51,MATCH(A88,all_locations!$E$1:$E$51,0))), "")</f>
        <v>11</v>
      </c>
      <c r="F88" t="str">
        <f t="shared" si="2"/>
        <v>non_refill</v>
      </c>
    </row>
    <row r="89" spans="1:6" x14ac:dyDescent="0.25">
      <c r="A89" s="8" t="s">
        <v>58</v>
      </c>
      <c r="B89" s="8" t="s">
        <v>160</v>
      </c>
      <c r="C89" s="8" t="s">
        <v>0</v>
      </c>
      <c r="D89" s="7">
        <f>_xlfn.IFNA(ROW(INDEX(all_items!$A$1:$A$57,MATCH(B89,all_items!$A$1:$A$57,0))), "")</f>
        <v>2</v>
      </c>
      <c r="E89" s="7">
        <f>_xlfn.IFNA(ROW(INDEX(all_locations!$E$1:$E$51,MATCH(A89,all_locations!$E$1:$E$51,0))), "")</f>
        <v>11</v>
      </c>
      <c r="F89" t="str">
        <f t="shared" si="2"/>
        <v>non_refill</v>
      </c>
    </row>
    <row r="90" spans="1:6" x14ac:dyDescent="0.25">
      <c r="A90" s="8" t="s">
        <v>58</v>
      </c>
      <c r="B90" s="8" t="s">
        <v>165</v>
      </c>
      <c r="C90" s="8" t="s">
        <v>0</v>
      </c>
      <c r="D90" s="7">
        <f>_xlfn.IFNA(ROW(INDEX(all_items!$A$1:$A$57,MATCH(B90,all_items!$A$1:$A$57,0))), "")</f>
        <v>7</v>
      </c>
      <c r="E90" s="7">
        <f>_xlfn.IFNA(ROW(INDEX(all_locations!$E$1:$E$51,MATCH(A90,all_locations!$E$1:$E$51,0))), "")</f>
        <v>11</v>
      </c>
      <c r="F90" t="str">
        <f t="shared" si="2"/>
        <v>non_refill</v>
      </c>
    </row>
    <row r="91" spans="1:6" x14ac:dyDescent="0.25">
      <c r="A91" s="8" t="s">
        <v>58</v>
      </c>
      <c r="B91" s="8" t="s">
        <v>167</v>
      </c>
      <c r="C91" s="12" t="s">
        <v>11</v>
      </c>
      <c r="D91" s="7">
        <f>_xlfn.IFNA(ROW(INDEX(all_items!$A$1:$A$57,MATCH(B91,all_items!$A$1:$A$57,0))), "")</f>
        <v>9</v>
      </c>
      <c r="E91" s="7">
        <f>_xlfn.IFNA(ROW(INDEX(all_locations!$E$1:$E$51,MATCH(A91,all_locations!$E$1:$E$51,0))), "")</f>
        <v>11</v>
      </c>
      <c r="F91" t="str">
        <f t="shared" si="2"/>
        <v>non_refill</v>
      </c>
    </row>
    <row r="92" spans="1:6" x14ac:dyDescent="0.25">
      <c r="A92" s="8" t="s">
        <v>58</v>
      </c>
      <c r="B92" s="8" t="s">
        <v>171</v>
      </c>
      <c r="C92" s="12" t="s">
        <v>15</v>
      </c>
      <c r="D92" s="7">
        <f>_xlfn.IFNA(ROW(INDEX(all_items!$A$1:$A$57,MATCH(B92,all_items!$A$1:$A$57,0))), "")</f>
        <v>13</v>
      </c>
      <c r="E92" s="7">
        <f>_xlfn.IFNA(ROW(INDEX(all_locations!$E$1:$E$51,MATCH(A92,all_locations!$E$1:$E$51,0))), "")</f>
        <v>11</v>
      </c>
      <c r="F92" t="str">
        <f t="shared" si="2"/>
        <v>non_refill</v>
      </c>
    </row>
    <row r="93" spans="1:6" x14ac:dyDescent="0.25">
      <c r="A93" s="8" t="s">
        <v>58</v>
      </c>
      <c r="B93" s="8" t="s">
        <v>172</v>
      </c>
      <c r="C93" s="8" t="s">
        <v>0</v>
      </c>
      <c r="D93" s="7">
        <f>_xlfn.IFNA(ROW(INDEX(all_items!$A$1:$A$57,MATCH(B93,all_items!$A$1:$A$57,0))), "")</f>
        <v>14</v>
      </c>
      <c r="E93" s="7">
        <f>_xlfn.IFNA(ROW(INDEX(all_locations!$E$1:$E$51,MATCH(A93,all_locations!$E$1:$E$51,0))), "")</f>
        <v>11</v>
      </c>
      <c r="F93" t="str">
        <f t="shared" si="2"/>
        <v>refill</v>
      </c>
    </row>
    <row r="94" spans="1:6" x14ac:dyDescent="0.25">
      <c r="A94" s="8" t="s">
        <v>58</v>
      </c>
      <c r="B94" s="8" t="s">
        <v>173</v>
      </c>
      <c r="C94" s="8" t="s">
        <v>0</v>
      </c>
      <c r="D94" s="7">
        <f>_xlfn.IFNA(ROW(INDEX(all_items!$A$1:$A$57,MATCH(B94,all_items!$A$1:$A$57,0))), "")</f>
        <v>15</v>
      </c>
      <c r="E94" s="7">
        <f>_xlfn.IFNA(ROW(INDEX(all_locations!$E$1:$E$51,MATCH(A94,all_locations!$E$1:$E$51,0))), "")</f>
        <v>11</v>
      </c>
      <c r="F94" t="str">
        <f t="shared" si="2"/>
        <v>non_refill</v>
      </c>
    </row>
    <row r="95" spans="1:6" x14ac:dyDescent="0.25">
      <c r="A95" s="8" t="s">
        <v>58</v>
      </c>
      <c r="B95" s="8" t="s">
        <v>174</v>
      </c>
      <c r="C95" s="8" t="s">
        <v>17</v>
      </c>
      <c r="D95" s="7">
        <f>_xlfn.IFNA(ROW(INDEX(all_items!$A$1:$A$57,MATCH(B95,all_items!$A$1:$A$57,0))), "")</f>
        <v>17</v>
      </c>
      <c r="E95" s="7">
        <f>_xlfn.IFNA(ROW(INDEX(all_locations!$E$1:$E$51,MATCH(A95,all_locations!$E$1:$E$51,0))), "")</f>
        <v>11</v>
      </c>
      <c r="F95" t="str">
        <f t="shared" si="2"/>
        <v>non_refill</v>
      </c>
    </row>
    <row r="96" spans="1:6" x14ac:dyDescent="0.25">
      <c r="A96" s="8" t="s">
        <v>58</v>
      </c>
      <c r="B96" s="8" t="s">
        <v>175</v>
      </c>
      <c r="C96" s="8" t="s">
        <v>0</v>
      </c>
      <c r="D96" s="7">
        <f>_xlfn.IFNA(ROW(INDEX(all_items!$A$1:$A$57,MATCH(B96,all_items!$A$1:$A$57,0))), "")</f>
        <v>18</v>
      </c>
      <c r="E96" s="7">
        <f>_xlfn.IFNA(ROW(INDEX(all_locations!$E$1:$E$51,MATCH(A96,all_locations!$E$1:$E$51,0))), "")</f>
        <v>11</v>
      </c>
      <c r="F96" t="str">
        <f t="shared" si="2"/>
        <v>refill</v>
      </c>
    </row>
    <row r="97" spans="1:6" x14ac:dyDescent="0.25">
      <c r="A97" s="8" t="s">
        <v>58</v>
      </c>
      <c r="B97" s="8" t="s">
        <v>176</v>
      </c>
      <c r="C97" s="8" t="s">
        <v>0</v>
      </c>
      <c r="D97" s="7">
        <f>_xlfn.IFNA(ROW(INDEX(all_items!$A$1:$A$57,MATCH(B97,all_items!$A$1:$A$57,0))), "")</f>
        <v>19</v>
      </c>
      <c r="E97" s="7">
        <f>_xlfn.IFNA(ROW(INDEX(all_locations!$E$1:$E$51,MATCH(A97,all_locations!$E$1:$E$51,0))), "")</f>
        <v>11</v>
      </c>
      <c r="F97" t="str">
        <f t="shared" si="2"/>
        <v>refill</v>
      </c>
    </row>
    <row r="98" spans="1:6" x14ac:dyDescent="0.25">
      <c r="A98" s="8" t="s">
        <v>58</v>
      </c>
      <c r="B98" s="8" t="s">
        <v>181</v>
      </c>
      <c r="C98" s="11" t="s">
        <v>0</v>
      </c>
      <c r="D98" s="7">
        <f>_xlfn.IFNA(ROW(INDEX(all_items!$A$1:$A$57,MATCH(B98,all_items!$A$1:$A$57,0))), "")</f>
        <v>24</v>
      </c>
      <c r="E98" s="7">
        <f>_xlfn.IFNA(ROW(INDEX(all_locations!$E$1:$E$51,MATCH(A98,all_locations!$E$1:$E$51,0))), "")</f>
        <v>11</v>
      </c>
      <c r="F98" t="str">
        <f t="shared" ref="F98:F129" si="3">IF(OR(B98="sabun_cuci_tangan",B98="tisu",B98="pengharum_ruangan"),"refill","non_refill")</f>
        <v>non_refill</v>
      </c>
    </row>
    <row r="99" spans="1:6" x14ac:dyDescent="0.25">
      <c r="A99" s="8" t="s">
        <v>7</v>
      </c>
      <c r="B99" s="8" t="s">
        <v>159</v>
      </c>
      <c r="C99" s="14" t="s">
        <v>17</v>
      </c>
      <c r="D99" s="7">
        <f>_xlfn.IFNA(ROW(INDEX(all_items!$A$1:$A$57,MATCH(B99,all_items!$A$1:$A$57,0))), "")</f>
        <v>1</v>
      </c>
      <c r="E99" s="7">
        <f>_xlfn.IFNA(ROW(INDEX(all_locations!$E$1:$E$51,MATCH(A99,all_locations!$E$1:$E$51,0))), "")</f>
        <v>12</v>
      </c>
      <c r="F99" t="str">
        <f t="shared" si="3"/>
        <v>non_refill</v>
      </c>
    </row>
    <row r="100" spans="1:6" x14ac:dyDescent="0.25">
      <c r="A100" s="8" t="s">
        <v>7</v>
      </c>
      <c r="B100" s="8" t="s">
        <v>160</v>
      </c>
      <c r="C100" s="8" t="s">
        <v>17</v>
      </c>
      <c r="D100" s="7">
        <f>_xlfn.IFNA(ROW(INDEX(all_items!$A$1:$A$57,MATCH(B100,all_items!$A$1:$A$57,0))), "")</f>
        <v>2</v>
      </c>
      <c r="E100" s="7">
        <f>_xlfn.IFNA(ROW(INDEX(all_locations!$E$1:$E$51,MATCH(A100,all_locations!$E$1:$E$51,0))), "")</f>
        <v>12</v>
      </c>
      <c r="F100" t="str">
        <f t="shared" si="3"/>
        <v>non_refill</v>
      </c>
    </row>
    <row r="101" spans="1:6" x14ac:dyDescent="0.25">
      <c r="A101" s="8" t="s">
        <v>7</v>
      </c>
      <c r="B101" s="8" t="s">
        <v>167</v>
      </c>
      <c r="C101" s="8" t="s">
        <v>19</v>
      </c>
      <c r="D101" s="7">
        <f>_xlfn.IFNA(ROW(INDEX(all_items!$A$1:$A$57,MATCH(B101,all_items!$A$1:$A$57,0))), "")</f>
        <v>9</v>
      </c>
      <c r="E101" s="7">
        <f>_xlfn.IFNA(ROW(INDEX(all_locations!$E$1:$E$51,MATCH(A101,all_locations!$E$1:$E$51,0))), "")</f>
        <v>12</v>
      </c>
      <c r="F101" t="str">
        <f t="shared" si="3"/>
        <v>non_refill</v>
      </c>
    </row>
    <row r="102" spans="1:6" x14ac:dyDescent="0.25">
      <c r="A102" s="8" t="s">
        <v>7</v>
      </c>
      <c r="B102" s="8" t="s">
        <v>168</v>
      </c>
      <c r="C102" s="8" t="s">
        <v>19</v>
      </c>
      <c r="D102" s="7">
        <f>_xlfn.IFNA(ROW(INDEX(all_items!$A$1:$A$57,MATCH(B102,all_items!$A$1:$A$57,0))), "")</f>
        <v>10</v>
      </c>
      <c r="E102" s="7">
        <f>_xlfn.IFNA(ROW(INDEX(all_locations!$E$1:$E$51,MATCH(A102,all_locations!$E$1:$E$51,0))), "")</f>
        <v>12</v>
      </c>
      <c r="F102" t="str">
        <f t="shared" si="3"/>
        <v>non_refill</v>
      </c>
    </row>
    <row r="103" spans="1:6" x14ac:dyDescent="0.25">
      <c r="A103" s="8" t="s">
        <v>7</v>
      </c>
      <c r="B103" s="8" t="s">
        <v>182</v>
      </c>
      <c r="C103" s="8" t="s">
        <v>19</v>
      </c>
      <c r="D103" s="7">
        <f>_xlfn.IFNA(ROW(INDEX(all_items!$A$1:$A$57,MATCH(B103,all_items!$A$1:$A$57,0))), "")</f>
        <v>25</v>
      </c>
      <c r="E103" s="7">
        <f>_xlfn.IFNA(ROW(INDEX(all_locations!$E$1:$E$51,MATCH(A103,all_locations!$E$1:$E$51,0))), "")</f>
        <v>12</v>
      </c>
      <c r="F103" t="str">
        <f t="shared" si="3"/>
        <v>non_refill</v>
      </c>
    </row>
    <row r="104" spans="1:6" x14ac:dyDescent="0.25">
      <c r="A104" s="8" t="s">
        <v>7</v>
      </c>
      <c r="B104" s="8" t="s">
        <v>183</v>
      </c>
      <c r="C104" s="11" t="s">
        <v>0</v>
      </c>
      <c r="D104" s="7">
        <f>_xlfn.IFNA(ROW(INDEX(all_items!$A$1:$A$57,MATCH(B104,all_items!$A$1:$A$57,0))), "")</f>
        <v>26</v>
      </c>
      <c r="E104" s="7">
        <f>_xlfn.IFNA(ROW(INDEX(all_locations!$E$1:$E$51,MATCH(A104,all_locations!$E$1:$E$51,0))), "")</f>
        <v>12</v>
      </c>
      <c r="F104" t="str">
        <f t="shared" si="3"/>
        <v>non_refill</v>
      </c>
    </row>
    <row r="105" spans="1:6" x14ac:dyDescent="0.25">
      <c r="A105" s="8" t="s">
        <v>61</v>
      </c>
      <c r="B105" s="8" t="s">
        <v>159</v>
      </c>
      <c r="C105" s="15" t="s">
        <v>21</v>
      </c>
      <c r="D105" s="7">
        <f>_xlfn.IFNA(ROW(INDEX(all_items!$A$1:$A$57,MATCH(B105,all_items!$A$1:$A$57,0))), "")</f>
        <v>1</v>
      </c>
      <c r="E105" s="7">
        <f>_xlfn.IFNA(ROW(INDEX(all_locations!$E$1:$E$51,MATCH(A105,all_locations!$E$1:$E$51,0))), "")</f>
        <v>13</v>
      </c>
      <c r="F105" t="str">
        <f t="shared" si="3"/>
        <v>non_refill</v>
      </c>
    </row>
    <row r="106" spans="1:6" x14ac:dyDescent="0.25">
      <c r="A106" s="8" t="s">
        <v>61</v>
      </c>
      <c r="B106" s="8" t="s">
        <v>160</v>
      </c>
      <c r="C106" s="8" t="s">
        <v>0</v>
      </c>
      <c r="D106" s="7">
        <f>_xlfn.IFNA(ROW(INDEX(all_items!$A$1:$A$57,MATCH(B106,all_items!$A$1:$A$57,0))), "")</f>
        <v>2</v>
      </c>
      <c r="E106" s="7">
        <f>_xlfn.IFNA(ROW(INDEX(all_locations!$E$1:$E$51,MATCH(A106,all_locations!$E$1:$E$51,0))), "")</f>
        <v>13</v>
      </c>
      <c r="F106" t="str">
        <f t="shared" si="3"/>
        <v>non_refill</v>
      </c>
    </row>
    <row r="107" spans="1:6" x14ac:dyDescent="0.25">
      <c r="A107" s="8" t="s">
        <v>61</v>
      </c>
      <c r="B107" s="8" t="s">
        <v>167</v>
      </c>
      <c r="C107" s="12" t="s">
        <v>11</v>
      </c>
      <c r="D107" s="7">
        <f>_xlfn.IFNA(ROW(INDEX(all_items!$A$1:$A$57,MATCH(B107,all_items!$A$1:$A$57,0))), "")</f>
        <v>9</v>
      </c>
      <c r="E107" s="7">
        <f>_xlfn.IFNA(ROW(INDEX(all_locations!$E$1:$E$51,MATCH(A107,all_locations!$E$1:$E$51,0))), "")</f>
        <v>13</v>
      </c>
      <c r="F107" t="str">
        <f t="shared" si="3"/>
        <v>non_refill</v>
      </c>
    </row>
    <row r="108" spans="1:6" x14ac:dyDescent="0.25">
      <c r="A108" s="8" t="s">
        <v>61</v>
      </c>
      <c r="B108" s="8" t="s">
        <v>168</v>
      </c>
      <c r="C108" s="8" t="s">
        <v>0</v>
      </c>
      <c r="D108" s="7">
        <f>_xlfn.IFNA(ROW(INDEX(all_items!$A$1:$A$57,MATCH(B108,all_items!$A$1:$A$57,0))), "")</f>
        <v>10</v>
      </c>
      <c r="E108" s="7">
        <f>_xlfn.IFNA(ROW(INDEX(all_locations!$E$1:$E$51,MATCH(A108,all_locations!$E$1:$E$51,0))), "")</f>
        <v>13</v>
      </c>
      <c r="F108" t="str">
        <f t="shared" si="3"/>
        <v>non_refill</v>
      </c>
    </row>
    <row r="109" spans="1:6" x14ac:dyDescent="0.25">
      <c r="A109" s="8" t="s">
        <v>61</v>
      </c>
      <c r="B109" s="8" t="s">
        <v>172</v>
      </c>
      <c r="C109" s="8" t="s">
        <v>0</v>
      </c>
      <c r="D109" s="7">
        <f>_xlfn.IFNA(ROW(INDEX(all_items!$A$1:$A$57,MATCH(B109,all_items!$A$1:$A$57,0))), "")</f>
        <v>14</v>
      </c>
      <c r="E109" s="7">
        <f>_xlfn.IFNA(ROW(INDEX(all_locations!$E$1:$E$51,MATCH(A109,all_locations!$E$1:$E$51,0))), "")</f>
        <v>13</v>
      </c>
      <c r="F109" t="str">
        <f t="shared" si="3"/>
        <v>refill</v>
      </c>
    </row>
    <row r="110" spans="1:6" x14ac:dyDescent="0.25">
      <c r="A110" s="8" t="s">
        <v>61</v>
      </c>
      <c r="B110" s="8" t="s">
        <v>182</v>
      </c>
      <c r="C110" s="8" t="s">
        <v>19</v>
      </c>
      <c r="D110" s="7">
        <f>_xlfn.IFNA(ROW(INDEX(all_items!$A$1:$A$57,MATCH(B110,all_items!$A$1:$A$57,0))), "")</f>
        <v>25</v>
      </c>
      <c r="E110" s="7">
        <f>_xlfn.IFNA(ROW(INDEX(all_locations!$E$1:$E$51,MATCH(A110,all_locations!$E$1:$E$51,0))), "")</f>
        <v>13</v>
      </c>
      <c r="F110" t="str">
        <f t="shared" si="3"/>
        <v>non_refill</v>
      </c>
    </row>
    <row r="111" spans="1:6" x14ac:dyDescent="0.25">
      <c r="A111" s="8" t="s">
        <v>61</v>
      </c>
      <c r="B111" s="8" t="s">
        <v>184</v>
      </c>
      <c r="C111" s="12" t="s">
        <v>15</v>
      </c>
      <c r="D111" s="7">
        <f>_xlfn.IFNA(ROW(INDEX(all_items!$A$1:$A$57,MATCH(B111,all_items!$A$1:$A$57,0))), "")</f>
        <v>27</v>
      </c>
      <c r="E111" s="7">
        <f>_xlfn.IFNA(ROW(INDEX(all_locations!$E$1:$E$51,MATCH(A111,all_locations!$E$1:$E$51,0))), "")</f>
        <v>13</v>
      </c>
      <c r="F111" t="str">
        <f t="shared" si="3"/>
        <v>non_refill</v>
      </c>
    </row>
    <row r="112" spans="1:6" x14ac:dyDescent="0.25">
      <c r="A112" s="8" t="s">
        <v>61</v>
      </c>
      <c r="B112" s="8" t="s">
        <v>185</v>
      </c>
      <c r="C112" s="11" t="s">
        <v>0</v>
      </c>
      <c r="D112" s="7">
        <f>_xlfn.IFNA(ROW(INDEX(all_items!$A$1:$A$57,MATCH(B112,all_items!$A$1:$A$57,0))), "")</f>
        <v>28</v>
      </c>
      <c r="E112" s="7">
        <f>_xlfn.IFNA(ROW(INDEX(all_locations!$E$1:$E$51,MATCH(A112,all_locations!$E$1:$E$51,0))), "")</f>
        <v>13</v>
      </c>
      <c r="F112" t="str">
        <f t="shared" si="3"/>
        <v>non_refill</v>
      </c>
    </row>
    <row r="113" spans="1:6" x14ac:dyDescent="0.25">
      <c r="A113" s="8" t="s">
        <v>63</v>
      </c>
      <c r="B113" s="8" t="s">
        <v>159</v>
      </c>
      <c r="C113" s="14" t="s">
        <v>0</v>
      </c>
      <c r="D113" s="7">
        <f>_xlfn.IFNA(ROW(INDEX(all_items!$A$1:$A$57,MATCH(B113,all_items!$A$1:$A$57,0))), "")</f>
        <v>1</v>
      </c>
      <c r="E113" s="7">
        <f>_xlfn.IFNA(ROW(INDEX(all_locations!$E$1:$E$51,MATCH(A113,all_locations!$E$1:$E$51,0))), "")</f>
        <v>14</v>
      </c>
      <c r="F113" t="str">
        <f t="shared" si="3"/>
        <v>non_refill</v>
      </c>
    </row>
    <row r="114" spans="1:6" x14ac:dyDescent="0.25">
      <c r="A114" s="8" t="s">
        <v>63</v>
      </c>
      <c r="B114" s="8" t="s">
        <v>160</v>
      </c>
      <c r="C114" s="8" t="s">
        <v>0</v>
      </c>
      <c r="D114" s="7">
        <f>_xlfn.IFNA(ROW(INDEX(all_items!$A$1:$A$57,MATCH(B114,all_items!$A$1:$A$57,0))), "")</f>
        <v>2</v>
      </c>
      <c r="E114" s="7">
        <f>_xlfn.IFNA(ROW(INDEX(all_locations!$E$1:$E$51,MATCH(A114,all_locations!$E$1:$E$51,0))), "")</f>
        <v>14</v>
      </c>
      <c r="F114" t="str">
        <f t="shared" si="3"/>
        <v>non_refill</v>
      </c>
    </row>
    <row r="115" spans="1:6" x14ac:dyDescent="0.25">
      <c r="A115" s="8" t="s">
        <v>63</v>
      </c>
      <c r="B115" s="8" t="s">
        <v>162</v>
      </c>
      <c r="C115" s="8" t="s">
        <v>19</v>
      </c>
      <c r="D115" s="7">
        <f>_xlfn.IFNA(ROW(INDEX(all_items!$A$1:$A$57,MATCH(B115,all_items!$A$1:$A$57,0))), "")</f>
        <v>4</v>
      </c>
      <c r="E115" s="7">
        <f>_xlfn.IFNA(ROW(INDEX(all_locations!$E$1:$E$51,MATCH(A115,all_locations!$E$1:$E$51,0))), "")</f>
        <v>14</v>
      </c>
      <c r="F115" t="str">
        <f t="shared" si="3"/>
        <v>non_refill</v>
      </c>
    </row>
    <row r="116" spans="1:6" x14ac:dyDescent="0.25">
      <c r="A116" s="8" t="s">
        <v>63</v>
      </c>
      <c r="B116" s="8" t="s">
        <v>165</v>
      </c>
      <c r="C116" s="8" t="s">
        <v>0</v>
      </c>
      <c r="D116" s="7">
        <f>_xlfn.IFNA(ROW(INDEX(all_items!$A$1:$A$57,MATCH(B116,all_items!$A$1:$A$57,0))), "")</f>
        <v>7</v>
      </c>
      <c r="E116" s="7">
        <f>_xlfn.IFNA(ROW(INDEX(all_locations!$E$1:$E$51,MATCH(A116,all_locations!$E$1:$E$51,0))), "")</f>
        <v>14</v>
      </c>
      <c r="F116" t="str">
        <f t="shared" si="3"/>
        <v>non_refill</v>
      </c>
    </row>
    <row r="117" spans="1:6" x14ac:dyDescent="0.25">
      <c r="A117" s="8" t="s">
        <v>63</v>
      </c>
      <c r="B117" s="8" t="s">
        <v>168</v>
      </c>
      <c r="C117" s="8" t="s">
        <v>0</v>
      </c>
      <c r="D117" s="7">
        <f>_xlfn.IFNA(ROW(INDEX(all_items!$A$1:$A$57,MATCH(B117,all_items!$A$1:$A$57,0))), "")</f>
        <v>10</v>
      </c>
      <c r="E117" s="7">
        <f>_xlfn.IFNA(ROW(INDEX(all_locations!$E$1:$E$51,MATCH(A117,all_locations!$E$1:$E$51,0))), "")</f>
        <v>14</v>
      </c>
      <c r="F117" t="str">
        <f t="shared" si="3"/>
        <v>non_refill</v>
      </c>
    </row>
    <row r="118" spans="1:6" x14ac:dyDescent="0.25">
      <c r="A118" s="8" t="s">
        <v>63</v>
      </c>
      <c r="B118" s="8" t="s">
        <v>169</v>
      </c>
      <c r="C118" s="8" t="s">
        <v>19</v>
      </c>
      <c r="D118" s="7">
        <f>_xlfn.IFNA(ROW(INDEX(all_items!$A$1:$A$57,MATCH(B118,all_items!$A$1:$A$57,0))), "")</f>
        <v>11</v>
      </c>
      <c r="E118" s="7">
        <f>_xlfn.IFNA(ROW(INDEX(all_locations!$E$1:$E$51,MATCH(A118,all_locations!$E$1:$E$51,0))), "")</f>
        <v>14</v>
      </c>
      <c r="F118" t="str">
        <f t="shared" si="3"/>
        <v>non_refill</v>
      </c>
    </row>
    <row r="119" spans="1:6" x14ac:dyDescent="0.25">
      <c r="A119" s="8" t="s">
        <v>63</v>
      </c>
      <c r="B119" s="8" t="s">
        <v>184</v>
      </c>
      <c r="C119" s="8" t="s">
        <v>0</v>
      </c>
      <c r="D119" s="7">
        <f>_xlfn.IFNA(ROW(INDEX(all_items!$A$1:$A$57,MATCH(B119,all_items!$A$1:$A$57,0))), "")</f>
        <v>27</v>
      </c>
      <c r="E119" s="7">
        <f>_xlfn.IFNA(ROW(INDEX(all_locations!$E$1:$E$51,MATCH(A119,all_locations!$E$1:$E$51,0))), "")</f>
        <v>14</v>
      </c>
      <c r="F119" t="str">
        <f t="shared" si="3"/>
        <v>non_refill</v>
      </c>
    </row>
    <row r="120" spans="1:6" x14ac:dyDescent="0.25">
      <c r="A120" s="8" t="s">
        <v>63</v>
      </c>
      <c r="B120" s="8" t="s">
        <v>161</v>
      </c>
      <c r="C120" s="11" t="s">
        <v>19</v>
      </c>
      <c r="D120" s="7">
        <f>_xlfn.IFNA(ROW(INDEX(all_items!$A$1:$A$57,MATCH(B120,all_items!$A$1:$A$57,0))), "")</f>
        <v>3</v>
      </c>
      <c r="E120" s="7">
        <f>_xlfn.IFNA(ROW(INDEX(all_locations!$E$1:$E$51,MATCH(A120,all_locations!$E$1:$E$51,0))), "")</f>
        <v>14</v>
      </c>
      <c r="F120" t="str">
        <f t="shared" si="3"/>
        <v>non_refill</v>
      </c>
    </row>
    <row r="121" spans="1:6" x14ac:dyDescent="0.25">
      <c r="A121" s="8" t="s">
        <v>65</v>
      </c>
      <c r="B121" s="8" t="s">
        <v>159</v>
      </c>
      <c r="C121" s="14" t="s">
        <v>17</v>
      </c>
      <c r="D121" s="7">
        <f>_xlfn.IFNA(ROW(INDEX(all_items!$A$1:$A$57,MATCH(B121,all_items!$A$1:$A$57,0))), "")</f>
        <v>1</v>
      </c>
      <c r="E121" s="7">
        <f>_xlfn.IFNA(ROW(INDEX(all_locations!$E$1:$E$51,MATCH(A121,all_locations!$E$1:$E$51,0))), "")</f>
        <v>15</v>
      </c>
      <c r="F121" t="str">
        <f t="shared" si="3"/>
        <v>non_refill</v>
      </c>
    </row>
    <row r="122" spans="1:6" x14ac:dyDescent="0.25">
      <c r="A122" s="8" t="s">
        <v>65</v>
      </c>
      <c r="B122" s="8" t="s">
        <v>160</v>
      </c>
      <c r="C122" s="12" t="s">
        <v>20</v>
      </c>
      <c r="D122" s="7">
        <f>_xlfn.IFNA(ROW(INDEX(all_items!$A$1:$A$57,MATCH(B122,all_items!$A$1:$A$57,0))), "")</f>
        <v>2</v>
      </c>
      <c r="E122" s="7">
        <f>_xlfn.IFNA(ROW(INDEX(all_locations!$E$1:$E$51,MATCH(A122,all_locations!$E$1:$E$51,0))), "")</f>
        <v>15</v>
      </c>
      <c r="F122" t="str">
        <f t="shared" si="3"/>
        <v>non_refill</v>
      </c>
    </row>
    <row r="123" spans="1:6" x14ac:dyDescent="0.25">
      <c r="A123" s="8" t="s">
        <v>65</v>
      </c>
      <c r="B123" s="8" t="s">
        <v>162</v>
      </c>
      <c r="C123" s="8" t="s">
        <v>0</v>
      </c>
      <c r="D123" s="7">
        <f>_xlfn.IFNA(ROW(INDEX(all_items!$A$1:$A$57,MATCH(B123,all_items!$A$1:$A$57,0))), "")</f>
        <v>4</v>
      </c>
      <c r="E123" s="7">
        <f>_xlfn.IFNA(ROW(INDEX(all_locations!$E$1:$E$51,MATCH(A123,all_locations!$E$1:$E$51,0))), "")</f>
        <v>15</v>
      </c>
      <c r="F123" t="str">
        <f t="shared" si="3"/>
        <v>non_refill</v>
      </c>
    </row>
    <row r="124" spans="1:6" x14ac:dyDescent="0.25">
      <c r="A124" s="8" t="s">
        <v>65</v>
      </c>
      <c r="B124" s="8" t="s">
        <v>164</v>
      </c>
      <c r="C124" s="12" t="s">
        <v>15</v>
      </c>
      <c r="D124" s="7">
        <f>_xlfn.IFNA(ROW(INDEX(all_items!$A$1:$A$57,MATCH(B124,all_items!$A$1:$A$57,0))), "")</f>
        <v>6</v>
      </c>
      <c r="E124" s="7">
        <f>_xlfn.IFNA(ROW(INDEX(all_locations!$E$1:$E$51,MATCH(A124,all_locations!$E$1:$E$51,0))), "")</f>
        <v>15</v>
      </c>
      <c r="F124" t="str">
        <f t="shared" si="3"/>
        <v>non_refill</v>
      </c>
    </row>
    <row r="125" spans="1:6" x14ac:dyDescent="0.25">
      <c r="A125" s="8" t="s">
        <v>65</v>
      </c>
      <c r="B125" s="8" t="s">
        <v>165</v>
      </c>
      <c r="C125" s="12" t="s">
        <v>11</v>
      </c>
      <c r="D125" s="7">
        <f>_xlfn.IFNA(ROW(INDEX(all_items!$A$1:$A$57,MATCH(B125,all_items!$A$1:$A$57,0))), "")</f>
        <v>7</v>
      </c>
      <c r="E125" s="7">
        <f>_xlfn.IFNA(ROW(INDEX(all_locations!$E$1:$E$51,MATCH(A125,all_locations!$E$1:$E$51,0))), "")</f>
        <v>15</v>
      </c>
      <c r="F125" t="str">
        <f t="shared" si="3"/>
        <v>non_refill</v>
      </c>
    </row>
    <row r="126" spans="1:6" x14ac:dyDescent="0.25">
      <c r="A126" s="8" t="s">
        <v>65</v>
      </c>
      <c r="B126" s="8" t="s">
        <v>168</v>
      </c>
      <c r="C126" s="12" t="s">
        <v>12</v>
      </c>
      <c r="D126" s="7">
        <f>_xlfn.IFNA(ROW(INDEX(all_items!$A$1:$A$57,MATCH(B126,all_items!$A$1:$A$57,0))), "")</f>
        <v>10</v>
      </c>
      <c r="E126" s="7">
        <f>_xlfn.IFNA(ROW(INDEX(all_locations!$E$1:$E$51,MATCH(A126,all_locations!$E$1:$E$51,0))), "")</f>
        <v>15</v>
      </c>
      <c r="F126" t="str">
        <f t="shared" si="3"/>
        <v>non_refill</v>
      </c>
    </row>
    <row r="127" spans="1:6" x14ac:dyDescent="0.25">
      <c r="A127" s="8" t="s">
        <v>65</v>
      </c>
      <c r="B127" s="8" t="s">
        <v>169</v>
      </c>
      <c r="C127" s="8" t="s">
        <v>19</v>
      </c>
      <c r="D127" s="7">
        <f>_xlfn.IFNA(ROW(INDEX(all_items!$A$1:$A$57,MATCH(B127,all_items!$A$1:$A$57,0))), "")</f>
        <v>11</v>
      </c>
      <c r="E127" s="7">
        <f>_xlfn.IFNA(ROW(INDEX(all_locations!$E$1:$E$51,MATCH(A127,all_locations!$E$1:$E$51,0))), "")</f>
        <v>15</v>
      </c>
      <c r="F127" t="str">
        <f t="shared" si="3"/>
        <v>non_refill</v>
      </c>
    </row>
    <row r="128" spans="1:6" x14ac:dyDescent="0.25">
      <c r="A128" s="8" t="s">
        <v>65</v>
      </c>
      <c r="B128" s="8" t="s">
        <v>184</v>
      </c>
      <c r="C128" s="8" t="s">
        <v>12</v>
      </c>
      <c r="D128" s="7">
        <f>_xlfn.IFNA(ROW(INDEX(all_items!$A$1:$A$57,MATCH(B128,all_items!$A$1:$A$57,0))), "")</f>
        <v>27</v>
      </c>
      <c r="E128" s="7">
        <f>_xlfn.IFNA(ROW(INDEX(all_locations!$E$1:$E$51,MATCH(A128,all_locations!$E$1:$E$51,0))), "")</f>
        <v>15</v>
      </c>
      <c r="F128" t="str">
        <f t="shared" si="3"/>
        <v>non_refill</v>
      </c>
    </row>
    <row r="129" spans="1:6" x14ac:dyDescent="0.25">
      <c r="A129" s="8" t="s">
        <v>65</v>
      </c>
      <c r="B129" s="8" t="s">
        <v>161</v>
      </c>
      <c r="C129" s="11" t="s">
        <v>12</v>
      </c>
      <c r="D129" s="7">
        <f>_xlfn.IFNA(ROW(INDEX(all_items!$A$1:$A$57,MATCH(B129,all_items!$A$1:$A$57,0))), "")</f>
        <v>3</v>
      </c>
      <c r="E129" s="7">
        <f>_xlfn.IFNA(ROW(INDEX(all_locations!$E$1:$E$51,MATCH(A129,all_locations!$E$1:$E$51,0))), "")</f>
        <v>15</v>
      </c>
      <c r="F129" t="str">
        <f t="shared" si="3"/>
        <v>non_refill</v>
      </c>
    </row>
    <row r="130" spans="1:6" x14ac:dyDescent="0.25">
      <c r="A130" s="8" t="s">
        <v>67</v>
      </c>
      <c r="B130" s="8" t="s">
        <v>159</v>
      </c>
      <c r="C130" s="14" t="s">
        <v>0</v>
      </c>
      <c r="D130" s="7">
        <f>_xlfn.IFNA(ROW(INDEX(all_items!$A$1:$A$57,MATCH(B130,all_items!$A$1:$A$57,0))), "")</f>
        <v>1</v>
      </c>
      <c r="E130" s="7">
        <f>_xlfn.IFNA(ROW(INDEX(all_locations!$E$1:$E$51,MATCH(A130,all_locations!$E$1:$E$51,0))), "")</f>
        <v>16</v>
      </c>
      <c r="F130" t="str">
        <f t="shared" ref="F130:F161" si="4">IF(OR(B130="sabun_cuci_tangan",B130="tisu",B130="pengharum_ruangan"),"refill","non_refill")</f>
        <v>non_refill</v>
      </c>
    </row>
    <row r="131" spans="1:6" x14ac:dyDescent="0.25">
      <c r="A131" s="8" t="s">
        <v>67</v>
      </c>
      <c r="B131" s="8" t="s">
        <v>160</v>
      </c>
      <c r="C131" s="12" t="s">
        <v>15</v>
      </c>
      <c r="D131" s="7">
        <f>_xlfn.IFNA(ROW(INDEX(all_items!$A$1:$A$57,MATCH(B131,all_items!$A$1:$A$57,0))), "")</f>
        <v>2</v>
      </c>
      <c r="E131" s="7">
        <f>_xlfn.IFNA(ROW(INDEX(all_locations!$E$1:$E$51,MATCH(A131,all_locations!$E$1:$E$51,0))), "")</f>
        <v>16</v>
      </c>
      <c r="F131" t="str">
        <f t="shared" si="4"/>
        <v>non_refill</v>
      </c>
    </row>
    <row r="132" spans="1:6" x14ac:dyDescent="0.25">
      <c r="A132" s="8" t="s">
        <v>67</v>
      </c>
      <c r="B132" s="8" t="s">
        <v>162</v>
      </c>
      <c r="C132" s="8" t="s">
        <v>12</v>
      </c>
      <c r="D132" s="7">
        <f>_xlfn.IFNA(ROW(INDEX(all_items!$A$1:$A$57,MATCH(B132,all_items!$A$1:$A$57,0))), "")</f>
        <v>4</v>
      </c>
      <c r="E132" s="7">
        <f>_xlfn.IFNA(ROW(INDEX(all_locations!$E$1:$E$51,MATCH(A132,all_locations!$E$1:$E$51,0))), "")</f>
        <v>16</v>
      </c>
      <c r="F132" t="str">
        <f t="shared" si="4"/>
        <v>non_refill</v>
      </c>
    </row>
    <row r="133" spans="1:6" x14ac:dyDescent="0.25">
      <c r="A133" s="8" t="s">
        <v>67</v>
      </c>
      <c r="B133" s="8" t="s">
        <v>164</v>
      </c>
      <c r="C133" s="8" t="s">
        <v>0</v>
      </c>
      <c r="D133" s="7">
        <f>_xlfn.IFNA(ROW(INDEX(all_items!$A$1:$A$57,MATCH(B133,all_items!$A$1:$A$57,0))), "")</f>
        <v>6</v>
      </c>
      <c r="E133" s="7">
        <f>_xlfn.IFNA(ROW(INDEX(all_locations!$E$1:$E$51,MATCH(A133,all_locations!$E$1:$E$51,0))), "")</f>
        <v>16</v>
      </c>
      <c r="F133" t="str">
        <f t="shared" si="4"/>
        <v>non_refill</v>
      </c>
    </row>
    <row r="134" spans="1:6" x14ac:dyDescent="0.25">
      <c r="A134" s="8" t="s">
        <v>67</v>
      </c>
      <c r="B134" s="8" t="s">
        <v>165</v>
      </c>
      <c r="C134" s="12" t="s">
        <v>11</v>
      </c>
      <c r="D134" s="7">
        <f>_xlfn.IFNA(ROW(INDEX(all_items!$A$1:$A$57,MATCH(B134,all_items!$A$1:$A$57,0))), "")</f>
        <v>7</v>
      </c>
      <c r="E134" s="7">
        <f>_xlfn.IFNA(ROW(INDEX(all_locations!$E$1:$E$51,MATCH(A134,all_locations!$E$1:$E$51,0))), "")</f>
        <v>16</v>
      </c>
      <c r="F134" t="str">
        <f t="shared" si="4"/>
        <v>non_refill</v>
      </c>
    </row>
    <row r="135" spans="1:6" x14ac:dyDescent="0.25">
      <c r="A135" s="8" t="s">
        <v>67</v>
      </c>
      <c r="B135" s="8" t="s">
        <v>168</v>
      </c>
      <c r="C135" s="8" t="s">
        <v>17</v>
      </c>
      <c r="D135" s="7">
        <f>_xlfn.IFNA(ROW(INDEX(all_items!$A$1:$A$57,MATCH(B135,all_items!$A$1:$A$57,0))), "")</f>
        <v>10</v>
      </c>
      <c r="E135" s="7">
        <f>_xlfn.IFNA(ROW(INDEX(all_locations!$E$1:$E$51,MATCH(A135,all_locations!$E$1:$E$51,0))), "")</f>
        <v>16</v>
      </c>
      <c r="F135" t="str">
        <f t="shared" si="4"/>
        <v>non_refill</v>
      </c>
    </row>
    <row r="136" spans="1:6" x14ac:dyDescent="0.25">
      <c r="A136" s="8" t="s">
        <v>67</v>
      </c>
      <c r="B136" s="8" t="s">
        <v>169</v>
      </c>
      <c r="C136" s="8" t="s">
        <v>12</v>
      </c>
      <c r="D136" s="7">
        <f>_xlfn.IFNA(ROW(INDEX(all_items!$A$1:$A$57,MATCH(B136,all_items!$A$1:$A$57,0))), "")</f>
        <v>11</v>
      </c>
      <c r="E136" s="7">
        <f>_xlfn.IFNA(ROW(INDEX(all_locations!$E$1:$E$51,MATCH(A136,all_locations!$E$1:$E$51,0))), "")</f>
        <v>16</v>
      </c>
      <c r="F136" t="str">
        <f t="shared" si="4"/>
        <v>non_refill</v>
      </c>
    </row>
    <row r="137" spans="1:6" x14ac:dyDescent="0.25">
      <c r="A137" s="8" t="s">
        <v>67</v>
      </c>
      <c r="B137" s="8" t="s">
        <v>184</v>
      </c>
      <c r="C137" s="12" t="s">
        <v>20</v>
      </c>
      <c r="D137" s="7">
        <f>_xlfn.IFNA(ROW(INDEX(all_items!$A$1:$A$57,MATCH(B137,all_items!$A$1:$A$57,0))), "")</f>
        <v>27</v>
      </c>
      <c r="E137" s="7">
        <f>_xlfn.IFNA(ROW(INDEX(all_locations!$E$1:$E$51,MATCH(A137,all_locations!$E$1:$E$51,0))), "")</f>
        <v>16</v>
      </c>
      <c r="F137" t="str">
        <f t="shared" si="4"/>
        <v>non_refill</v>
      </c>
    </row>
    <row r="138" spans="1:6" x14ac:dyDescent="0.25">
      <c r="A138" s="8" t="s">
        <v>67</v>
      </c>
      <c r="B138" s="8" t="s">
        <v>161</v>
      </c>
      <c r="C138" s="12" t="s">
        <v>12</v>
      </c>
      <c r="D138" s="7">
        <f>_xlfn.IFNA(ROW(INDEX(all_items!$A$1:$A$57,MATCH(B138,all_items!$A$1:$A$57,0))), "")</f>
        <v>3</v>
      </c>
      <c r="E138" s="7">
        <f>_xlfn.IFNA(ROW(INDEX(all_locations!$E$1:$E$51,MATCH(A138,all_locations!$E$1:$E$51,0))), "")</f>
        <v>16</v>
      </c>
      <c r="F138" t="str">
        <f t="shared" si="4"/>
        <v>non_refill</v>
      </c>
    </row>
    <row r="139" spans="1:6" x14ac:dyDescent="0.25">
      <c r="A139" s="8" t="s">
        <v>67</v>
      </c>
      <c r="B139" s="8" t="s">
        <v>186</v>
      </c>
      <c r="C139" s="12" t="s">
        <v>15</v>
      </c>
      <c r="D139" s="7">
        <f>_xlfn.IFNA(ROW(INDEX(all_items!$A$1:$A$57,MATCH(B139,all_items!$A$1:$A$57,0))), "")</f>
        <v>29</v>
      </c>
      <c r="E139" s="7">
        <f>_xlfn.IFNA(ROW(INDEX(all_locations!$E$1:$E$51,MATCH(A139,all_locations!$E$1:$E$51,0))), "")</f>
        <v>16</v>
      </c>
      <c r="F139" t="str">
        <f t="shared" si="4"/>
        <v>non_refill</v>
      </c>
    </row>
    <row r="140" spans="1:6" x14ac:dyDescent="0.25">
      <c r="A140" s="8" t="s">
        <v>78</v>
      </c>
      <c r="B140" s="8" t="s">
        <v>159</v>
      </c>
      <c r="C140" s="15" t="s">
        <v>11</v>
      </c>
      <c r="D140" s="7">
        <f>_xlfn.IFNA(ROW(INDEX(all_items!$A$1:$A$57,MATCH(B140,all_items!$A$1:$A$57,0))), "")</f>
        <v>1</v>
      </c>
      <c r="E140" s="7">
        <f>_xlfn.IFNA(ROW(INDEX(all_locations!$E$1:$E$51,MATCH(A140,all_locations!$E$1:$E$51,0))), "")</f>
        <v>17</v>
      </c>
      <c r="F140" t="str">
        <f t="shared" si="4"/>
        <v>non_refill</v>
      </c>
    </row>
    <row r="141" spans="1:6" x14ac:dyDescent="0.25">
      <c r="A141" s="8" t="s">
        <v>78</v>
      </c>
      <c r="B141" s="8" t="s">
        <v>160</v>
      </c>
      <c r="C141" s="8" t="s">
        <v>0</v>
      </c>
      <c r="D141" s="7">
        <f>_xlfn.IFNA(ROW(INDEX(all_items!$A$1:$A$57,MATCH(B141,all_items!$A$1:$A$57,0))), "")</f>
        <v>2</v>
      </c>
      <c r="E141" s="7">
        <f>_xlfn.IFNA(ROW(INDEX(all_locations!$E$1:$E$51,MATCH(A141,all_locations!$E$1:$E$51,0))), "")</f>
        <v>17</v>
      </c>
      <c r="F141" t="str">
        <f t="shared" si="4"/>
        <v>non_refill</v>
      </c>
    </row>
    <row r="142" spans="1:6" x14ac:dyDescent="0.25">
      <c r="A142" s="8" t="s">
        <v>78</v>
      </c>
      <c r="B142" s="8" t="s">
        <v>162</v>
      </c>
      <c r="C142" s="12" t="s">
        <v>11</v>
      </c>
      <c r="D142" s="7">
        <f>_xlfn.IFNA(ROW(INDEX(all_items!$A$1:$A$57,MATCH(B142,all_items!$A$1:$A$57,0))), "")</f>
        <v>4</v>
      </c>
      <c r="E142" s="7">
        <f>_xlfn.IFNA(ROW(INDEX(all_locations!$E$1:$E$51,MATCH(A142,all_locations!$E$1:$E$51,0))), "")</f>
        <v>17</v>
      </c>
      <c r="F142" t="str">
        <f t="shared" si="4"/>
        <v>non_refill</v>
      </c>
    </row>
    <row r="143" spans="1:6" x14ac:dyDescent="0.25">
      <c r="A143" s="8" t="s">
        <v>78</v>
      </c>
      <c r="B143" s="8" t="s">
        <v>164</v>
      </c>
      <c r="C143" s="8" t="s">
        <v>20</v>
      </c>
      <c r="D143" s="7">
        <f>_xlfn.IFNA(ROW(INDEX(all_items!$A$1:$A$57,MATCH(B143,all_items!$A$1:$A$57,0))), "")</f>
        <v>6</v>
      </c>
      <c r="E143" s="7">
        <f>_xlfn.IFNA(ROW(INDEX(all_locations!$E$1:$E$51,MATCH(A143,all_locations!$E$1:$E$51,0))), "")</f>
        <v>17</v>
      </c>
      <c r="F143" t="str">
        <f t="shared" si="4"/>
        <v>non_refill</v>
      </c>
    </row>
    <row r="144" spans="1:6" x14ac:dyDescent="0.25">
      <c r="A144" s="8" t="s">
        <v>78</v>
      </c>
      <c r="B144" s="8" t="s">
        <v>165</v>
      </c>
      <c r="C144" s="12" t="s">
        <v>15</v>
      </c>
      <c r="D144" s="7">
        <f>_xlfn.IFNA(ROW(INDEX(all_items!$A$1:$A$57,MATCH(B144,all_items!$A$1:$A$57,0))), "")</f>
        <v>7</v>
      </c>
      <c r="E144" s="7">
        <f>_xlfn.IFNA(ROW(INDEX(all_locations!$E$1:$E$51,MATCH(A144,all_locations!$E$1:$E$51,0))), "")</f>
        <v>17</v>
      </c>
      <c r="F144" t="str">
        <f t="shared" si="4"/>
        <v>non_refill</v>
      </c>
    </row>
    <row r="145" spans="1:6" x14ac:dyDescent="0.25">
      <c r="A145" s="8" t="s">
        <v>78</v>
      </c>
      <c r="B145" s="8" t="s">
        <v>168</v>
      </c>
      <c r="C145" s="12" t="s">
        <v>15</v>
      </c>
      <c r="D145" s="7">
        <f>_xlfn.IFNA(ROW(INDEX(all_items!$A$1:$A$57,MATCH(B145,all_items!$A$1:$A$57,0))), "")</f>
        <v>10</v>
      </c>
      <c r="E145" s="7">
        <f>_xlfn.IFNA(ROW(INDEX(all_locations!$E$1:$E$51,MATCH(A145,all_locations!$E$1:$E$51,0))), "")</f>
        <v>17</v>
      </c>
      <c r="F145" t="str">
        <f t="shared" si="4"/>
        <v>non_refill</v>
      </c>
    </row>
    <row r="146" spans="1:6" x14ac:dyDescent="0.25">
      <c r="A146" s="8" t="s">
        <v>78</v>
      </c>
      <c r="B146" s="8" t="s">
        <v>169</v>
      </c>
      <c r="C146" s="8" t="s">
        <v>0</v>
      </c>
      <c r="D146" s="7">
        <f>_xlfn.IFNA(ROW(INDEX(all_items!$A$1:$A$57,MATCH(B146,all_items!$A$1:$A$57,0))), "")</f>
        <v>11</v>
      </c>
      <c r="E146" s="7">
        <f>_xlfn.IFNA(ROW(INDEX(all_locations!$E$1:$E$51,MATCH(A146,all_locations!$E$1:$E$51,0))), "")</f>
        <v>17</v>
      </c>
      <c r="F146" t="str">
        <f t="shared" si="4"/>
        <v>non_refill</v>
      </c>
    </row>
    <row r="147" spans="1:6" x14ac:dyDescent="0.25">
      <c r="A147" s="8" t="s">
        <v>78</v>
      </c>
      <c r="B147" s="8" t="s">
        <v>184</v>
      </c>
      <c r="C147" s="8" t="s">
        <v>0</v>
      </c>
      <c r="D147" s="7">
        <f>_xlfn.IFNA(ROW(INDEX(all_items!$A$1:$A$57,MATCH(B147,all_items!$A$1:$A$57,0))), "")</f>
        <v>27</v>
      </c>
      <c r="E147" s="7">
        <f>_xlfn.IFNA(ROW(INDEX(all_locations!$E$1:$E$51,MATCH(A147,all_locations!$E$1:$E$51,0))), "")</f>
        <v>17</v>
      </c>
      <c r="F147" t="str">
        <f t="shared" si="4"/>
        <v>non_refill</v>
      </c>
    </row>
    <row r="148" spans="1:6" x14ac:dyDescent="0.25">
      <c r="A148" s="8" t="s">
        <v>78</v>
      </c>
      <c r="B148" s="8" t="s">
        <v>161</v>
      </c>
      <c r="C148" s="8" t="s">
        <v>0</v>
      </c>
      <c r="D148" s="7">
        <f>_xlfn.IFNA(ROW(INDEX(all_items!$A$1:$A$57,MATCH(B148,all_items!$A$1:$A$57,0))), "")</f>
        <v>3</v>
      </c>
      <c r="E148" s="7">
        <f>_xlfn.IFNA(ROW(INDEX(all_locations!$E$1:$E$51,MATCH(A148,all_locations!$E$1:$E$51,0))), "")</f>
        <v>17</v>
      </c>
      <c r="F148" t="str">
        <f t="shared" si="4"/>
        <v>non_refill</v>
      </c>
    </row>
    <row r="149" spans="1:6" x14ac:dyDescent="0.25">
      <c r="A149" s="8" t="s">
        <v>78</v>
      </c>
      <c r="B149" s="8" t="s">
        <v>186</v>
      </c>
      <c r="C149" s="11" t="s">
        <v>0</v>
      </c>
      <c r="D149" s="7">
        <f>_xlfn.IFNA(ROW(INDEX(all_items!$A$1:$A$57,MATCH(B149,all_items!$A$1:$A$57,0))), "")</f>
        <v>29</v>
      </c>
      <c r="E149" s="7">
        <f>_xlfn.IFNA(ROW(INDEX(all_locations!$E$1:$E$51,MATCH(A149,all_locations!$E$1:$E$51,0))), "")</f>
        <v>17</v>
      </c>
      <c r="F149" t="str">
        <f t="shared" si="4"/>
        <v>non_refill</v>
      </c>
    </row>
    <row r="150" spans="1:6" x14ac:dyDescent="0.25">
      <c r="A150" s="8" t="s">
        <v>71</v>
      </c>
      <c r="B150" s="8" t="s">
        <v>159</v>
      </c>
      <c r="C150" s="14" t="s">
        <v>0</v>
      </c>
      <c r="D150" s="7">
        <f>_xlfn.IFNA(ROW(INDEX(all_items!$A$1:$A$57,MATCH(B150,all_items!$A$1:$A$57,0))), "")</f>
        <v>1</v>
      </c>
      <c r="E150" s="7">
        <f>_xlfn.IFNA(ROW(INDEX(all_locations!$E$1:$E$51,MATCH(A150,all_locations!$E$1:$E$51,0))), "")</f>
        <v>18</v>
      </c>
      <c r="F150" t="str">
        <f t="shared" si="4"/>
        <v>non_refill</v>
      </c>
    </row>
    <row r="151" spans="1:6" x14ac:dyDescent="0.25">
      <c r="A151" s="8" t="s">
        <v>71</v>
      </c>
      <c r="B151" s="8" t="s">
        <v>160</v>
      </c>
      <c r="C151" s="12" t="s">
        <v>15</v>
      </c>
      <c r="D151" s="7">
        <f>_xlfn.IFNA(ROW(INDEX(all_items!$A$1:$A$57,MATCH(B151,all_items!$A$1:$A$57,0))), "")</f>
        <v>2</v>
      </c>
      <c r="E151" s="7">
        <f>_xlfn.IFNA(ROW(INDEX(all_locations!$E$1:$E$51,MATCH(A151,all_locations!$E$1:$E$51,0))), "")</f>
        <v>18</v>
      </c>
      <c r="F151" t="str">
        <f t="shared" si="4"/>
        <v>non_refill</v>
      </c>
    </row>
    <row r="152" spans="1:6" x14ac:dyDescent="0.25">
      <c r="A152" s="8" t="s">
        <v>71</v>
      </c>
      <c r="B152" s="8" t="s">
        <v>162</v>
      </c>
      <c r="C152" s="12" t="s">
        <v>12</v>
      </c>
      <c r="D152" s="7">
        <f>_xlfn.IFNA(ROW(INDEX(all_items!$A$1:$A$57,MATCH(B152,all_items!$A$1:$A$57,0))), "")</f>
        <v>4</v>
      </c>
      <c r="E152" s="7">
        <f>_xlfn.IFNA(ROW(INDEX(all_locations!$E$1:$E$51,MATCH(A152,all_locations!$E$1:$E$51,0))), "")</f>
        <v>18</v>
      </c>
      <c r="F152" t="str">
        <f t="shared" si="4"/>
        <v>non_refill</v>
      </c>
    </row>
    <row r="153" spans="1:6" x14ac:dyDescent="0.25">
      <c r="A153" s="8" t="s">
        <v>71</v>
      </c>
      <c r="B153" s="8" t="s">
        <v>164</v>
      </c>
      <c r="C153" s="12" t="s">
        <v>11</v>
      </c>
      <c r="D153" s="7">
        <f>_xlfn.IFNA(ROW(INDEX(all_items!$A$1:$A$57,MATCH(B153,all_items!$A$1:$A$57,0))), "")</f>
        <v>6</v>
      </c>
      <c r="E153" s="7">
        <f>_xlfn.IFNA(ROW(INDEX(all_locations!$E$1:$E$51,MATCH(A153,all_locations!$E$1:$E$51,0))), "")</f>
        <v>18</v>
      </c>
      <c r="F153" t="str">
        <f t="shared" si="4"/>
        <v>non_refill</v>
      </c>
    </row>
    <row r="154" spans="1:6" x14ac:dyDescent="0.25">
      <c r="A154" s="8" t="s">
        <v>71</v>
      </c>
      <c r="B154" s="8" t="s">
        <v>165</v>
      </c>
      <c r="C154" s="8" t="s">
        <v>12</v>
      </c>
      <c r="D154" s="7">
        <f>_xlfn.IFNA(ROW(INDEX(all_items!$A$1:$A$57,MATCH(B154,all_items!$A$1:$A$57,0))), "")</f>
        <v>7</v>
      </c>
      <c r="E154" s="7">
        <f>_xlfn.IFNA(ROW(INDEX(all_locations!$E$1:$E$51,MATCH(A154,all_locations!$E$1:$E$51,0))), "")</f>
        <v>18</v>
      </c>
      <c r="F154" t="str">
        <f t="shared" si="4"/>
        <v>non_refill</v>
      </c>
    </row>
    <row r="155" spans="1:6" x14ac:dyDescent="0.25">
      <c r="A155" s="8" t="s">
        <v>71</v>
      </c>
      <c r="B155" s="8" t="s">
        <v>168</v>
      </c>
      <c r="C155" s="8" t="s">
        <v>17</v>
      </c>
      <c r="D155" s="7">
        <f>_xlfn.IFNA(ROW(INDEX(all_items!$A$1:$A$57,MATCH(B155,all_items!$A$1:$A$57,0))), "")</f>
        <v>10</v>
      </c>
      <c r="E155" s="7">
        <f>_xlfn.IFNA(ROW(INDEX(all_locations!$E$1:$E$51,MATCH(A155,all_locations!$E$1:$E$51,0))), "")</f>
        <v>18</v>
      </c>
      <c r="F155" t="str">
        <f t="shared" si="4"/>
        <v>non_refill</v>
      </c>
    </row>
    <row r="156" spans="1:6" x14ac:dyDescent="0.25">
      <c r="A156" s="8" t="s">
        <v>71</v>
      </c>
      <c r="B156" s="8" t="s">
        <v>169</v>
      </c>
      <c r="C156" s="8" t="s">
        <v>12</v>
      </c>
      <c r="D156" s="7">
        <f>_xlfn.IFNA(ROW(INDEX(all_items!$A$1:$A$57,MATCH(B156,all_items!$A$1:$A$57,0))), "")</f>
        <v>11</v>
      </c>
      <c r="E156" s="7">
        <f>_xlfn.IFNA(ROW(INDEX(all_locations!$E$1:$E$51,MATCH(A156,all_locations!$E$1:$E$51,0))), "")</f>
        <v>18</v>
      </c>
      <c r="F156" t="str">
        <f t="shared" si="4"/>
        <v>non_refill</v>
      </c>
    </row>
    <row r="157" spans="1:6" x14ac:dyDescent="0.25">
      <c r="A157" s="8" t="s">
        <v>71</v>
      </c>
      <c r="B157" s="8" t="s">
        <v>184</v>
      </c>
      <c r="C157" s="16" t="s">
        <v>20</v>
      </c>
      <c r="D157" s="7">
        <f>_xlfn.IFNA(ROW(INDEX(all_items!$A$1:$A$57,MATCH(B157,all_items!$A$1:$A$57,0))), "")</f>
        <v>27</v>
      </c>
      <c r="E157" s="7">
        <f>_xlfn.IFNA(ROW(INDEX(all_locations!$E$1:$E$51,MATCH(A157,all_locations!$E$1:$E$51,0))), "")</f>
        <v>18</v>
      </c>
      <c r="F157" t="str">
        <f t="shared" si="4"/>
        <v>non_refill</v>
      </c>
    </row>
    <row r="158" spans="1:6" x14ac:dyDescent="0.25">
      <c r="A158" s="8" t="s">
        <v>8</v>
      </c>
      <c r="B158" s="8" t="s">
        <v>159</v>
      </c>
      <c r="C158" s="15" t="s">
        <v>11</v>
      </c>
      <c r="D158" s="7">
        <f>_xlfn.IFNA(ROW(INDEX(all_items!$A$1:$A$57,MATCH(B158,all_items!$A$1:$A$57,0))), "")</f>
        <v>1</v>
      </c>
      <c r="E158" s="7">
        <f>_xlfn.IFNA(ROW(INDEX(all_locations!$E$1:$E$51,MATCH(A158,all_locations!$E$1:$E$51,0))), "")</f>
        <v>19</v>
      </c>
      <c r="F158" t="str">
        <f t="shared" si="4"/>
        <v>non_refill</v>
      </c>
    </row>
    <row r="159" spans="1:6" x14ac:dyDescent="0.25">
      <c r="A159" s="8" t="s">
        <v>8</v>
      </c>
      <c r="B159" s="8" t="s">
        <v>160</v>
      </c>
      <c r="C159" s="8" t="s">
        <v>0</v>
      </c>
      <c r="D159" s="7">
        <f>_xlfn.IFNA(ROW(INDEX(all_items!$A$1:$A$57,MATCH(B159,all_items!$A$1:$A$57,0))), "")</f>
        <v>2</v>
      </c>
      <c r="E159" s="7">
        <f>_xlfn.IFNA(ROW(INDEX(all_locations!$E$1:$E$51,MATCH(A159,all_locations!$E$1:$E$51,0))), "")</f>
        <v>19</v>
      </c>
      <c r="F159" t="str">
        <f t="shared" si="4"/>
        <v>non_refill</v>
      </c>
    </row>
    <row r="160" spans="1:6" x14ac:dyDescent="0.25">
      <c r="A160" s="8" t="s">
        <v>8</v>
      </c>
      <c r="B160" s="8" t="s">
        <v>162</v>
      </c>
      <c r="C160" s="12" t="s">
        <v>12</v>
      </c>
      <c r="D160" s="7">
        <f>_xlfn.IFNA(ROW(INDEX(all_items!$A$1:$A$57,MATCH(B160,all_items!$A$1:$A$57,0))), "")</f>
        <v>4</v>
      </c>
      <c r="E160" s="7">
        <f>_xlfn.IFNA(ROW(INDEX(all_locations!$E$1:$E$51,MATCH(A160,all_locations!$E$1:$E$51,0))), "")</f>
        <v>19</v>
      </c>
      <c r="F160" t="str">
        <f t="shared" si="4"/>
        <v>non_refill</v>
      </c>
    </row>
    <row r="161" spans="1:6" x14ac:dyDescent="0.25">
      <c r="A161" s="8" t="s">
        <v>8</v>
      </c>
      <c r="B161" s="8" t="s">
        <v>164</v>
      </c>
      <c r="C161" s="8" t="s">
        <v>0</v>
      </c>
      <c r="D161" s="7">
        <f>_xlfn.IFNA(ROW(INDEX(all_items!$A$1:$A$57,MATCH(B161,all_items!$A$1:$A$57,0))), "")</f>
        <v>6</v>
      </c>
      <c r="E161" s="7">
        <f>_xlfn.IFNA(ROW(INDEX(all_locations!$E$1:$E$51,MATCH(A161,all_locations!$E$1:$E$51,0))), "")</f>
        <v>19</v>
      </c>
      <c r="F161" t="str">
        <f t="shared" si="4"/>
        <v>non_refill</v>
      </c>
    </row>
    <row r="162" spans="1:6" x14ac:dyDescent="0.25">
      <c r="A162" s="8" t="s">
        <v>8</v>
      </c>
      <c r="B162" s="8" t="s">
        <v>165</v>
      </c>
      <c r="C162" s="8" t="s">
        <v>19</v>
      </c>
      <c r="D162" s="7">
        <f>_xlfn.IFNA(ROW(INDEX(all_items!$A$1:$A$57,MATCH(B162,all_items!$A$1:$A$57,0))), "")</f>
        <v>7</v>
      </c>
      <c r="E162" s="7">
        <f>_xlfn.IFNA(ROW(INDEX(all_locations!$E$1:$E$51,MATCH(A162,all_locations!$E$1:$E$51,0))), "")</f>
        <v>19</v>
      </c>
      <c r="F162" t="str">
        <f t="shared" ref="F162:F183" si="5">IF(OR(B162="sabun_cuci_tangan",B162="tisu",B162="pengharum_ruangan"),"refill","non_refill")</f>
        <v>non_refill</v>
      </c>
    </row>
    <row r="163" spans="1:6" x14ac:dyDescent="0.25">
      <c r="A163" s="8" t="s">
        <v>8</v>
      </c>
      <c r="B163" s="8" t="s">
        <v>168</v>
      </c>
      <c r="C163" s="12" t="s">
        <v>15</v>
      </c>
      <c r="D163" s="7">
        <f>_xlfn.IFNA(ROW(INDEX(all_items!$A$1:$A$57,MATCH(B163,all_items!$A$1:$A$57,0))), "")</f>
        <v>10</v>
      </c>
      <c r="E163" s="7">
        <f>_xlfn.IFNA(ROW(INDEX(all_locations!$E$1:$E$51,MATCH(A163,all_locations!$E$1:$E$51,0))), "")</f>
        <v>19</v>
      </c>
      <c r="F163" t="str">
        <f t="shared" si="5"/>
        <v>non_refill</v>
      </c>
    </row>
    <row r="164" spans="1:6" x14ac:dyDescent="0.25">
      <c r="A164" s="8" t="s">
        <v>8</v>
      </c>
      <c r="B164" s="8" t="s">
        <v>169</v>
      </c>
      <c r="C164" s="8" t="s">
        <v>12</v>
      </c>
      <c r="D164" s="7">
        <f>_xlfn.IFNA(ROW(INDEX(all_items!$A$1:$A$57,MATCH(B164,all_items!$A$1:$A$57,0))), "")</f>
        <v>11</v>
      </c>
      <c r="E164" s="7">
        <f>_xlfn.IFNA(ROW(INDEX(all_locations!$E$1:$E$51,MATCH(A164,all_locations!$E$1:$E$51,0))), "")</f>
        <v>19</v>
      </c>
      <c r="F164" t="str">
        <f t="shared" si="5"/>
        <v>non_refill</v>
      </c>
    </row>
    <row r="165" spans="1:6" x14ac:dyDescent="0.25">
      <c r="A165" s="8" t="s">
        <v>8</v>
      </c>
      <c r="B165" s="8" t="s">
        <v>184</v>
      </c>
      <c r="C165" s="8" t="s">
        <v>17</v>
      </c>
      <c r="D165" s="7">
        <f>_xlfn.IFNA(ROW(INDEX(all_items!$A$1:$A$57,MATCH(B165,all_items!$A$1:$A$57,0))), "")</f>
        <v>27</v>
      </c>
      <c r="E165" s="7">
        <f>_xlfn.IFNA(ROW(INDEX(all_locations!$E$1:$E$51,MATCH(A165,all_locations!$E$1:$E$51,0))), "")</f>
        <v>19</v>
      </c>
      <c r="F165" t="str">
        <f t="shared" si="5"/>
        <v>non_refill</v>
      </c>
    </row>
    <row r="166" spans="1:6" x14ac:dyDescent="0.25">
      <c r="A166" s="8" t="s">
        <v>8</v>
      </c>
      <c r="B166" s="8" t="s">
        <v>161</v>
      </c>
      <c r="C166" s="12" t="s">
        <v>18</v>
      </c>
      <c r="D166" s="7">
        <f>_xlfn.IFNA(ROW(INDEX(all_items!$A$1:$A$57,MATCH(B166,all_items!$A$1:$A$57,0))), "")</f>
        <v>3</v>
      </c>
      <c r="E166" s="7">
        <f>_xlfn.IFNA(ROW(INDEX(all_locations!$E$1:$E$51,MATCH(A166,all_locations!$E$1:$E$51,0))), "")</f>
        <v>19</v>
      </c>
      <c r="F166" t="str">
        <f t="shared" si="5"/>
        <v>non_refill</v>
      </c>
    </row>
    <row r="167" spans="1:6" x14ac:dyDescent="0.25">
      <c r="A167" s="8" t="s">
        <v>8</v>
      </c>
      <c r="B167" s="8" t="s">
        <v>187</v>
      </c>
      <c r="C167" s="16" t="s">
        <v>11</v>
      </c>
      <c r="D167" s="7">
        <f>_xlfn.IFNA(ROW(INDEX(all_items!$A$1:$A$57,MATCH(B167,all_items!$A$1:$A$57,0))), "")</f>
        <v>30</v>
      </c>
      <c r="E167" s="7">
        <f>_xlfn.IFNA(ROW(INDEX(all_locations!$E$1:$E$51,MATCH(A167,all_locations!$E$1:$E$51,0))), "")</f>
        <v>19</v>
      </c>
      <c r="F167" t="str">
        <f t="shared" si="5"/>
        <v>non_refill</v>
      </c>
    </row>
    <row r="168" spans="1:6" x14ac:dyDescent="0.25">
      <c r="A168" s="8" t="s">
        <v>79</v>
      </c>
      <c r="B168" s="8" t="s">
        <v>159</v>
      </c>
      <c r="C168" s="14" t="s">
        <v>14</v>
      </c>
      <c r="D168" s="7">
        <f>_xlfn.IFNA(ROW(INDEX(all_items!$A$1:$A$57,MATCH(B168,all_items!$A$1:$A$57,0))), "")</f>
        <v>1</v>
      </c>
      <c r="E168" s="7">
        <f>_xlfn.IFNA(ROW(INDEX(all_locations!$E$1:$E$51,MATCH(A168,all_locations!$E$1:$E$51,0))), "")</f>
        <v>20</v>
      </c>
      <c r="F168" t="str">
        <f t="shared" si="5"/>
        <v>non_refill</v>
      </c>
    </row>
    <row r="169" spans="1:6" x14ac:dyDescent="0.25">
      <c r="A169" s="8" t="s">
        <v>79</v>
      </c>
      <c r="B169" s="8" t="s">
        <v>160</v>
      </c>
      <c r="C169" s="8" t="s">
        <v>0</v>
      </c>
      <c r="D169" s="7">
        <f>_xlfn.IFNA(ROW(INDEX(all_items!$A$1:$A$57,MATCH(B169,all_items!$A$1:$A$57,0))), "")</f>
        <v>2</v>
      </c>
      <c r="E169" s="7">
        <f>_xlfn.IFNA(ROW(INDEX(all_locations!$E$1:$E$51,MATCH(A169,all_locations!$E$1:$E$51,0))), "")</f>
        <v>20</v>
      </c>
      <c r="F169" t="str">
        <f t="shared" si="5"/>
        <v>non_refill</v>
      </c>
    </row>
    <row r="170" spans="1:6" x14ac:dyDescent="0.25">
      <c r="A170" s="8" t="s">
        <v>79</v>
      </c>
      <c r="B170" s="8" t="s">
        <v>162</v>
      </c>
      <c r="C170" s="12" t="s">
        <v>15</v>
      </c>
      <c r="D170" s="7">
        <f>_xlfn.IFNA(ROW(INDEX(all_items!$A$1:$A$57,MATCH(B170,all_items!$A$1:$A$57,0))), "")</f>
        <v>4</v>
      </c>
      <c r="E170" s="7">
        <f>_xlfn.IFNA(ROW(INDEX(all_locations!$E$1:$E$51,MATCH(A170,all_locations!$E$1:$E$51,0))), "")</f>
        <v>20</v>
      </c>
      <c r="F170" t="str">
        <f t="shared" si="5"/>
        <v>non_refill</v>
      </c>
    </row>
    <row r="171" spans="1:6" x14ac:dyDescent="0.25">
      <c r="A171" s="8" t="s">
        <v>79</v>
      </c>
      <c r="B171" s="8" t="s">
        <v>164</v>
      </c>
      <c r="C171" s="12" t="s">
        <v>13</v>
      </c>
      <c r="D171" s="7">
        <f>_xlfn.IFNA(ROW(INDEX(all_items!$A$1:$A$57,MATCH(B171,all_items!$A$1:$A$57,0))), "")</f>
        <v>6</v>
      </c>
      <c r="E171" s="7">
        <f>_xlfn.IFNA(ROW(INDEX(all_locations!$E$1:$E$51,MATCH(A171,all_locations!$E$1:$E$51,0))), "")</f>
        <v>20</v>
      </c>
      <c r="F171" t="str">
        <f t="shared" si="5"/>
        <v>non_refill</v>
      </c>
    </row>
    <row r="172" spans="1:6" x14ac:dyDescent="0.25">
      <c r="A172" s="8" t="s">
        <v>79</v>
      </c>
      <c r="B172" s="8" t="s">
        <v>165</v>
      </c>
      <c r="C172" s="12" t="s">
        <v>0</v>
      </c>
      <c r="D172" s="7">
        <f>_xlfn.IFNA(ROW(INDEX(all_items!$A$1:$A$57,MATCH(B172,all_items!$A$1:$A$57,0))), "")</f>
        <v>7</v>
      </c>
      <c r="E172" s="7">
        <f>_xlfn.IFNA(ROW(INDEX(all_locations!$E$1:$E$51,MATCH(A172,all_locations!$E$1:$E$51,0))), "")</f>
        <v>20</v>
      </c>
      <c r="F172" t="str">
        <f t="shared" si="5"/>
        <v>non_refill</v>
      </c>
    </row>
    <row r="173" spans="1:6" x14ac:dyDescent="0.25">
      <c r="A173" s="8" t="s">
        <v>79</v>
      </c>
      <c r="B173" s="8" t="s">
        <v>168</v>
      </c>
      <c r="C173" s="8" t="s">
        <v>17</v>
      </c>
      <c r="D173" s="7">
        <f>_xlfn.IFNA(ROW(INDEX(all_items!$A$1:$A$57,MATCH(B173,all_items!$A$1:$A$57,0))), "")</f>
        <v>10</v>
      </c>
      <c r="E173" s="7">
        <f>_xlfn.IFNA(ROW(INDEX(all_locations!$E$1:$E$51,MATCH(A173,all_locations!$E$1:$E$51,0))), "")</f>
        <v>20</v>
      </c>
      <c r="F173" t="str">
        <f t="shared" si="5"/>
        <v>non_refill</v>
      </c>
    </row>
    <row r="174" spans="1:6" x14ac:dyDescent="0.25">
      <c r="A174" s="8" t="s">
        <v>79</v>
      </c>
      <c r="B174" s="8" t="s">
        <v>169</v>
      </c>
      <c r="C174" s="12" t="s">
        <v>20</v>
      </c>
      <c r="D174" s="7">
        <f>_xlfn.IFNA(ROW(INDEX(all_items!$A$1:$A$57,MATCH(B174,all_items!$A$1:$A$57,0))), "")</f>
        <v>11</v>
      </c>
      <c r="E174" s="7">
        <f>_xlfn.IFNA(ROW(INDEX(all_locations!$E$1:$E$51,MATCH(A174,all_locations!$E$1:$E$51,0))), "")</f>
        <v>20</v>
      </c>
      <c r="F174" t="str">
        <f t="shared" si="5"/>
        <v>non_refill</v>
      </c>
    </row>
    <row r="175" spans="1:6" x14ac:dyDescent="0.25">
      <c r="A175" s="8" t="s">
        <v>79</v>
      </c>
      <c r="B175" s="8" t="s">
        <v>184</v>
      </c>
      <c r="C175" s="16" t="s">
        <v>11</v>
      </c>
      <c r="D175" s="7">
        <f>_xlfn.IFNA(ROW(INDEX(all_items!$A$1:$A$57,MATCH(B175,all_items!$A$1:$A$57,0))), "")</f>
        <v>27</v>
      </c>
      <c r="E175" s="7">
        <f>_xlfn.IFNA(ROW(INDEX(all_locations!$E$1:$E$51,MATCH(A175,all_locations!$E$1:$E$51,0))), "")</f>
        <v>20</v>
      </c>
      <c r="F175" t="str">
        <f t="shared" si="5"/>
        <v>non_refill</v>
      </c>
    </row>
    <row r="176" spans="1:6" x14ac:dyDescent="0.25">
      <c r="A176" s="8" t="s">
        <v>73</v>
      </c>
      <c r="B176" s="8" t="s">
        <v>159</v>
      </c>
      <c r="C176" s="14" t="s">
        <v>0</v>
      </c>
      <c r="D176" s="7">
        <f>_xlfn.IFNA(ROW(INDEX(all_items!$A$1:$A$57,MATCH(B176,all_items!$A$1:$A$57,0))), "")</f>
        <v>1</v>
      </c>
      <c r="E176" s="7">
        <f>_xlfn.IFNA(ROW(INDEX(all_locations!$E$1:$E$51,MATCH(A176,all_locations!$E$1:$E$51,0))), "")</f>
        <v>21</v>
      </c>
      <c r="F176" t="str">
        <f t="shared" si="5"/>
        <v>non_refill</v>
      </c>
    </row>
    <row r="177" spans="1:6" x14ac:dyDescent="0.25">
      <c r="A177" s="8" t="s">
        <v>73</v>
      </c>
      <c r="B177" s="8" t="s">
        <v>160</v>
      </c>
      <c r="C177" s="8" t="s">
        <v>0</v>
      </c>
      <c r="D177" s="7">
        <f>_xlfn.IFNA(ROW(INDEX(all_items!$A$1:$A$57,MATCH(B177,all_items!$A$1:$A$57,0))), "")</f>
        <v>2</v>
      </c>
      <c r="E177" s="7">
        <f>_xlfn.IFNA(ROW(INDEX(all_locations!$E$1:$E$51,MATCH(A177,all_locations!$E$1:$E$51,0))), "")</f>
        <v>21</v>
      </c>
      <c r="F177" t="str">
        <f t="shared" si="5"/>
        <v>non_refill</v>
      </c>
    </row>
    <row r="178" spans="1:6" x14ac:dyDescent="0.25">
      <c r="A178" s="8" t="s">
        <v>73</v>
      </c>
      <c r="B178" s="8" t="s">
        <v>162</v>
      </c>
      <c r="C178" s="12" t="s">
        <v>20</v>
      </c>
      <c r="D178" s="7">
        <f>_xlfn.IFNA(ROW(INDEX(all_items!$A$1:$A$57,MATCH(B178,all_items!$A$1:$A$57,0))), "")</f>
        <v>4</v>
      </c>
      <c r="E178" s="7">
        <f>_xlfn.IFNA(ROW(INDEX(all_locations!$E$1:$E$51,MATCH(A178,all_locations!$E$1:$E$51,0))), "")</f>
        <v>21</v>
      </c>
      <c r="F178" t="str">
        <f t="shared" si="5"/>
        <v>non_refill</v>
      </c>
    </row>
    <row r="179" spans="1:6" x14ac:dyDescent="0.25">
      <c r="A179" s="8" t="s">
        <v>73</v>
      </c>
      <c r="B179" s="8" t="s">
        <v>164</v>
      </c>
      <c r="C179" s="12" t="s">
        <v>0</v>
      </c>
      <c r="D179" s="7">
        <f>_xlfn.IFNA(ROW(INDEX(all_items!$A$1:$A$57,MATCH(B179,all_items!$A$1:$A$57,0))), "")</f>
        <v>6</v>
      </c>
      <c r="E179" s="7">
        <f>_xlfn.IFNA(ROW(INDEX(all_locations!$E$1:$E$51,MATCH(A179,all_locations!$E$1:$E$51,0))), "")</f>
        <v>21</v>
      </c>
      <c r="F179" t="str">
        <f t="shared" si="5"/>
        <v>non_refill</v>
      </c>
    </row>
    <row r="180" spans="1:6" x14ac:dyDescent="0.25">
      <c r="A180" s="8" t="s">
        <v>73</v>
      </c>
      <c r="B180" s="8" t="s">
        <v>165</v>
      </c>
      <c r="C180" s="12" t="s">
        <v>13</v>
      </c>
      <c r="D180" s="7">
        <f>_xlfn.IFNA(ROW(INDEX(all_items!$A$1:$A$57,MATCH(B180,all_items!$A$1:$A$57,0))), "")</f>
        <v>7</v>
      </c>
      <c r="E180" s="7">
        <f>_xlfn.IFNA(ROW(INDEX(all_locations!$E$1:$E$51,MATCH(A180,all_locations!$E$1:$E$51,0))), "")</f>
        <v>21</v>
      </c>
      <c r="F180" t="str">
        <f t="shared" si="5"/>
        <v>non_refill</v>
      </c>
    </row>
    <row r="181" spans="1:6" x14ac:dyDescent="0.25">
      <c r="A181" s="8" t="s">
        <v>73</v>
      </c>
      <c r="B181" s="8" t="s">
        <v>168</v>
      </c>
      <c r="C181" s="12" t="s">
        <v>11</v>
      </c>
      <c r="D181" s="7">
        <f>_xlfn.IFNA(ROW(INDEX(all_items!$A$1:$A$57,MATCH(B181,all_items!$A$1:$A$57,0))), "")</f>
        <v>10</v>
      </c>
      <c r="E181" s="7">
        <f>_xlfn.IFNA(ROW(INDEX(all_locations!$E$1:$E$51,MATCH(A181,all_locations!$E$1:$E$51,0))), "")</f>
        <v>21</v>
      </c>
      <c r="F181" t="str">
        <f t="shared" si="5"/>
        <v>non_refill</v>
      </c>
    </row>
    <row r="182" spans="1:6" x14ac:dyDescent="0.25">
      <c r="A182" s="8" t="s">
        <v>73</v>
      </c>
      <c r="B182" s="8" t="s">
        <v>169</v>
      </c>
      <c r="C182" s="12" t="s">
        <v>0</v>
      </c>
      <c r="D182" s="7">
        <f>_xlfn.IFNA(ROW(INDEX(all_items!$A$1:$A$57,MATCH(B182,all_items!$A$1:$A$57,0))), "")</f>
        <v>11</v>
      </c>
      <c r="E182" s="7">
        <f>_xlfn.IFNA(ROW(INDEX(all_locations!$E$1:$E$51,MATCH(A182,all_locations!$E$1:$E$51,0))), "")</f>
        <v>21</v>
      </c>
      <c r="F182" t="str">
        <f t="shared" si="5"/>
        <v>non_refill</v>
      </c>
    </row>
    <row r="183" spans="1:6" x14ac:dyDescent="0.25">
      <c r="A183" s="8" t="s">
        <v>73</v>
      </c>
      <c r="B183" s="8" t="s">
        <v>184</v>
      </c>
      <c r="C183" s="16" t="s">
        <v>15</v>
      </c>
      <c r="D183" s="7">
        <f>_xlfn.IFNA(ROW(INDEX(all_items!$A$1:$A$57,MATCH(B183,all_items!$A$1:$A$57,0))), "")</f>
        <v>27</v>
      </c>
      <c r="E183" s="7">
        <f>_xlfn.IFNA(ROW(INDEX(all_locations!$E$1:$E$51,MATCH(A183,all_locations!$E$1:$E$51,0))), "")</f>
        <v>21</v>
      </c>
      <c r="F183" t="str">
        <f t="shared" si="5"/>
        <v>non_refill</v>
      </c>
    </row>
    <row r="184" spans="1:6" x14ac:dyDescent="0.25">
      <c r="A184" s="17"/>
      <c r="B184" s="17" t="s">
        <v>26</v>
      </c>
      <c r="C184" s="17"/>
      <c r="D184" s="7" t="str">
        <f>_xlfn.IFNA(ROW(INDEX(all_items!$A$1:$A$57,MATCH(B184,all_items!$A$1:$A$57,0))), "")</f>
        <v/>
      </c>
      <c r="F184" s="26"/>
    </row>
  </sheetData>
  <sortState xmlns:xlrd2="http://schemas.microsoft.com/office/spreadsheetml/2017/richdata2" ref="A2:E185">
    <sortCondition ref="E1:E185"/>
  </sortState>
  <dataConsolidate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141"/>
  <sheetViews>
    <sheetView topLeftCell="A133" zoomScaleNormal="100" workbookViewId="0">
      <selection activeCell="D129" sqref="D129"/>
    </sheetView>
  </sheetViews>
  <sheetFormatPr defaultRowHeight="15.75" x14ac:dyDescent="0.25"/>
  <cols>
    <col min="1" max="1" width="27" style="10" bestFit="1" customWidth="1"/>
    <col min="2" max="2" width="30" style="10" bestFit="1" customWidth="1"/>
    <col min="3" max="3" width="8.7109375" style="10" bestFit="1" customWidth="1"/>
    <col min="4" max="4" width="9.140625" style="7" bestFit="1" customWidth="1"/>
    <col min="5" max="5" width="13.85546875" style="7" bestFit="1" customWidth="1"/>
    <col min="6" max="6" width="15.28515625" style="5" bestFit="1" customWidth="1"/>
    <col min="7" max="16384" width="9.140625" style="5"/>
  </cols>
  <sheetData>
    <row r="1" spans="1:6" s="21" customFormat="1" x14ac:dyDescent="0.25">
      <c r="A1" s="20" t="s">
        <v>16</v>
      </c>
      <c r="B1" s="20" t="s">
        <v>74</v>
      </c>
      <c r="C1" s="20" t="s">
        <v>75</v>
      </c>
      <c r="D1" s="23" t="s">
        <v>77</v>
      </c>
      <c r="E1" s="23" t="s">
        <v>76</v>
      </c>
      <c r="F1" s="22" t="s">
        <v>310</v>
      </c>
    </row>
    <row r="2" spans="1:6" x14ac:dyDescent="0.25">
      <c r="A2" s="11" t="s">
        <v>81</v>
      </c>
      <c r="B2" s="8" t="s">
        <v>159</v>
      </c>
      <c r="C2" s="9"/>
      <c r="D2" s="7">
        <f>_xlfn.IFNA(ROW(INDEX(all_items!$A$1:$A$57,MATCH(B2,all_items!$A$1:$A$57,0))), "")</f>
        <v>1</v>
      </c>
      <c r="E2" s="7">
        <f>_xlfn.IFNA(ROW(INDEX(all_locations!$E$1:$E$51,MATCH(A2,all_locations!$E$1:$E$51,0))),"")</f>
        <v>22</v>
      </c>
      <c r="F2" s="5" t="str">
        <f>IF(OR(B2="sabun_cuci_tangan",B2="tisu",B2="pengharum_ruangan",B2="kamper"),"refill","non_refill")</f>
        <v>non_refill</v>
      </c>
    </row>
    <row r="3" spans="1:6" x14ac:dyDescent="0.25">
      <c r="A3" s="11" t="s">
        <v>81</v>
      </c>
      <c r="B3" s="8" t="s">
        <v>160</v>
      </c>
      <c r="C3" s="8"/>
      <c r="D3" s="7">
        <f>_xlfn.IFNA(ROW(INDEX(all_items!$A$1:$A$57,MATCH(B3,all_items!$A$1:$A$57,0))), "")</f>
        <v>2</v>
      </c>
      <c r="E3" s="7">
        <f>_xlfn.IFNA(ROW(INDEX(all_locations!$E$1:$E$51,MATCH(A3,all_locations!$E$1:$E$51,0))), "")</f>
        <v>22</v>
      </c>
      <c r="F3" s="5" t="str">
        <f t="shared" ref="F3:F66" si="0">IF(OR(B3="sabun_cuci_tangan",B3="tisu",B3="pengharum_ruangan",B3="kamper"),"refill","non_refill")</f>
        <v>non_refill</v>
      </c>
    </row>
    <row r="4" spans="1:6" x14ac:dyDescent="0.25">
      <c r="A4" s="11" t="s">
        <v>81</v>
      </c>
      <c r="B4" s="8" t="s">
        <v>162</v>
      </c>
      <c r="C4" s="8"/>
      <c r="D4" s="7">
        <f>_xlfn.IFNA(ROW(INDEX(all_items!$A$1:$A$57,MATCH(B4,all_items!$A$1:$A$57,0))), "")</f>
        <v>4</v>
      </c>
      <c r="E4" s="7">
        <f>_xlfn.IFNA(ROW(INDEX(all_locations!$E$1:$E$51,MATCH(A4,all_locations!$E$1:$E$51,0))), "")</f>
        <v>22</v>
      </c>
      <c r="F4" s="5" t="str">
        <f t="shared" si="0"/>
        <v>non_refill</v>
      </c>
    </row>
    <row r="5" spans="1:6" x14ac:dyDescent="0.25">
      <c r="A5" s="11" t="s">
        <v>81</v>
      </c>
      <c r="B5" s="8" t="s">
        <v>164</v>
      </c>
      <c r="C5" s="8"/>
      <c r="D5" s="7">
        <f>_xlfn.IFNA(ROW(INDEX(all_items!$A$1:$A$57,MATCH(B5,all_items!$A$1:$A$57,0))), "")</f>
        <v>6</v>
      </c>
      <c r="E5" s="7">
        <f>_xlfn.IFNA(ROW(INDEX(all_locations!$E$1:$E$51,MATCH(A5,all_locations!$E$1:$E$51,0))), "")</f>
        <v>22</v>
      </c>
      <c r="F5" s="5" t="str">
        <f t="shared" si="0"/>
        <v>non_refill</v>
      </c>
    </row>
    <row r="6" spans="1:6" x14ac:dyDescent="0.25">
      <c r="A6" s="11" t="s">
        <v>81</v>
      </c>
      <c r="B6" s="8" t="s">
        <v>166</v>
      </c>
      <c r="C6" s="8"/>
      <c r="D6" s="7">
        <f>_xlfn.IFNA(ROW(INDEX(all_items!$A$1:$A$57,MATCH(B6,all_items!$A$1:$A$57,0))), "")</f>
        <v>8</v>
      </c>
      <c r="E6" s="7">
        <f>_xlfn.IFNA(ROW(INDEX(all_locations!$E$1:$E$51,MATCH(A6,all_locations!$E$1:$E$51,0))), "")</f>
        <v>22</v>
      </c>
      <c r="F6" s="5" t="str">
        <f t="shared" si="0"/>
        <v>non_refill</v>
      </c>
    </row>
    <row r="7" spans="1:6" x14ac:dyDescent="0.25">
      <c r="A7" s="11" t="s">
        <v>81</v>
      </c>
      <c r="B7" s="8" t="s">
        <v>167</v>
      </c>
      <c r="C7" s="8"/>
      <c r="D7" s="7">
        <f>_xlfn.IFNA(ROW(INDEX(all_items!$A$1:$A$57,MATCH(B7,all_items!$A$1:$A$57,0))), "")</f>
        <v>9</v>
      </c>
      <c r="E7" s="7">
        <f>_xlfn.IFNA(ROW(INDEX(all_locations!$E$1:$E$51,MATCH(A7,all_locations!$E$1:$E$51,0))), "")</f>
        <v>22</v>
      </c>
      <c r="F7" s="5" t="str">
        <f t="shared" si="0"/>
        <v>non_refill</v>
      </c>
    </row>
    <row r="8" spans="1:6" x14ac:dyDescent="0.25">
      <c r="A8" s="11" t="s">
        <v>81</v>
      </c>
      <c r="B8" s="8" t="s">
        <v>161</v>
      </c>
      <c r="C8" s="8"/>
      <c r="D8" s="7">
        <f>_xlfn.IFNA(ROW(INDEX(all_items!$A$1:$A$57,MATCH(B8,all_items!$A$1:$A$57,0))), "")</f>
        <v>3</v>
      </c>
      <c r="E8" s="7">
        <f>_xlfn.IFNA(ROW(INDEX(all_locations!$E$1:$E$51,MATCH(A8,all_locations!$E$1:$E$51,0))), "")</f>
        <v>22</v>
      </c>
      <c r="F8" s="5" t="str">
        <f t="shared" si="0"/>
        <v>non_refill</v>
      </c>
    </row>
    <row r="9" spans="1:6" x14ac:dyDescent="0.25">
      <c r="A9" s="11" t="s">
        <v>81</v>
      </c>
      <c r="B9" s="8" t="s">
        <v>178</v>
      </c>
      <c r="C9" s="8"/>
      <c r="D9" s="7">
        <f>_xlfn.IFNA(ROW(INDEX(all_items!$A$1:$A$57,MATCH(B9,all_items!$A$1:$A$57,0))), "")</f>
        <v>21</v>
      </c>
      <c r="E9" s="7">
        <f>_xlfn.IFNA(ROW(INDEX(all_locations!$E$1:$E$51,MATCH(A9,all_locations!$E$1:$E$51,0))), "")</f>
        <v>22</v>
      </c>
      <c r="F9" s="5" t="str">
        <f t="shared" si="0"/>
        <v>non_refill</v>
      </c>
    </row>
    <row r="10" spans="1:6" x14ac:dyDescent="0.25">
      <c r="A10" s="11" t="s">
        <v>34</v>
      </c>
      <c r="B10" s="8" t="s">
        <v>159</v>
      </c>
      <c r="C10" s="8"/>
      <c r="D10" s="7">
        <f>_xlfn.IFNA(ROW(INDEX(all_items!$A$1:$A$57,MATCH(B10,all_items!$A$1:$A$57,0))), "")</f>
        <v>1</v>
      </c>
      <c r="E10" s="7">
        <f>_xlfn.IFNA(ROW(INDEX(all_locations!$E$1:$E$51,MATCH(A10,all_locations!$E$1:$E$51,0))), "")</f>
        <v>23</v>
      </c>
      <c r="F10" s="5" t="str">
        <f t="shared" si="0"/>
        <v>non_refill</v>
      </c>
    </row>
    <row r="11" spans="1:6" x14ac:dyDescent="0.25">
      <c r="A11" s="11" t="s">
        <v>34</v>
      </c>
      <c r="B11" s="8" t="s">
        <v>160</v>
      </c>
      <c r="C11" s="8"/>
      <c r="D11" s="7">
        <f>_xlfn.IFNA(ROW(INDEX(all_items!$A$1:$A$57,MATCH(B11,all_items!$A$1:$A$57,0))), "")</f>
        <v>2</v>
      </c>
      <c r="E11" s="7">
        <f>_xlfn.IFNA(ROW(INDEX(all_locations!$E$1:$E$51,MATCH(A11,all_locations!$E$1:$E$51,0))), "")</f>
        <v>23</v>
      </c>
      <c r="F11" s="5" t="str">
        <f t="shared" si="0"/>
        <v>non_refill</v>
      </c>
    </row>
    <row r="12" spans="1:6" x14ac:dyDescent="0.25">
      <c r="A12" s="11" t="s">
        <v>34</v>
      </c>
      <c r="B12" s="8" t="s">
        <v>167</v>
      </c>
      <c r="C12" s="8"/>
      <c r="D12" s="7">
        <f>_xlfn.IFNA(ROW(INDEX(all_items!$A$1:$A$57,MATCH(B12,all_items!$A$1:$A$57,0))), "")</f>
        <v>9</v>
      </c>
      <c r="E12" s="7">
        <f>_xlfn.IFNA(ROW(INDEX(all_locations!$E$1:$E$51,MATCH(A12,all_locations!$E$1:$E$51,0))), "")</f>
        <v>23</v>
      </c>
      <c r="F12" s="5" t="str">
        <f t="shared" si="0"/>
        <v>non_refill</v>
      </c>
    </row>
    <row r="13" spans="1:6" x14ac:dyDescent="0.25">
      <c r="A13" s="11" t="s">
        <v>1</v>
      </c>
      <c r="B13" s="8" t="s">
        <v>159</v>
      </c>
      <c r="C13" s="8"/>
      <c r="D13" s="7">
        <f>_xlfn.IFNA(ROW(INDEX(all_items!$A$1:$A$57,MATCH(B13,all_items!$A$1:$A$57,0))), "")</f>
        <v>1</v>
      </c>
      <c r="E13" s="7">
        <f>_xlfn.IFNA(ROW(INDEX(all_locations!$E$1:$E$51,MATCH(A13,all_locations!$E$1:$E$51,0))), "")</f>
        <v>24</v>
      </c>
      <c r="F13" s="5" t="str">
        <f t="shared" si="0"/>
        <v>non_refill</v>
      </c>
    </row>
    <row r="14" spans="1:6" x14ac:dyDescent="0.25">
      <c r="A14" s="11" t="s">
        <v>1</v>
      </c>
      <c r="B14" s="8" t="s">
        <v>164</v>
      </c>
      <c r="C14" s="8" t="s">
        <v>9</v>
      </c>
      <c r="D14" s="7">
        <f>_xlfn.IFNA(ROW(INDEX(all_items!$A$1:$A$57,MATCH(B14,all_items!$A$1:$A$57,0))), "")</f>
        <v>6</v>
      </c>
      <c r="E14" s="7">
        <f>_xlfn.IFNA(ROW(INDEX(all_locations!$E$1:$E$51,MATCH(A14,all_locations!$E$1:$E$51,0))), "")</f>
        <v>24</v>
      </c>
      <c r="F14" s="5" t="str">
        <f t="shared" si="0"/>
        <v>non_refill</v>
      </c>
    </row>
    <row r="15" spans="1:6" x14ac:dyDescent="0.25">
      <c r="A15" s="11" t="s">
        <v>1</v>
      </c>
      <c r="B15" s="8" t="s">
        <v>167</v>
      </c>
      <c r="C15" s="8"/>
      <c r="D15" s="7">
        <f>_xlfn.IFNA(ROW(INDEX(all_items!$A$1:$A$57,MATCH(B15,all_items!$A$1:$A$57,0))), "")</f>
        <v>9</v>
      </c>
      <c r="E15" s="7">
        <f>_xlfn.IFNA(ROW(INDEX(all_locations!$E$1:$E$51,MATCH(A15,all_locations!$E$1:$E$51,0))), "")</f>
        <v>24</v>
      </c>
      <c r="F15" s="5" t="str">
        <f t="shared" si="0"/>
        <v>non_refill</v>
      </c>
    </row>
    <row r="16" spans="1:6" x14ac:dyDescent="0.25">
      <c r="A16" s="11" t="s">
        <v>1</v>
      </c>
      <c r="B16" s="8" t="s">
        <v>186</v>
      </c>
      <c r="C16" s="8"/>
      <c r="D16" s="7">
        <f>_xlfn.IFNA(ROW(INDEX(all_items!$A$1:$A$57,MATCH(B16,all_items!$A$1:$A$57,0))), "")</f>
        <v>29</v>
      </c>
      <c r="E16" s="7">
        <f>_xlfn.IFNA(ROW(INDEX(all_locations!$E$1:$E$51,MATCH(A16,all_locations!$E$1:$E$51,0))), "")</f>
        <v>24</v>
      </c>
      <c r="F16" s="5" t="str">
        <f t="shared" si="0"/>
        <v>non_refill</v>
      </c>
    </row>
    <row r="17" spans="1:6" x14ac:dyDescent="0.25">
      <c r="A17" s="11" t="s">
        <v>1</v>
      </c>
      <c r="B17" s="8" t="s">
        <v>161</v>
      </c>
      <c r="C17" s="8"/>
      <c r="D17" s="7">
        <f>_xlfn.IFNA(ROW(INDEX(all_items!$A$1:$A$57,MATCH(B17,all_items!$A$1:$A$57,0))), "")</f>
        <v>3</v>
      </c>
      <c r="E17" s="7">
        <f>_xlfn.IFNA(ROW(INDEX(all_locations!$E$1:$E$51,MATCH(A17,all_locations!$E$1:$E$51,0))), "")</f>
        <v>24</v>
      </c>
      <c r="F17" s="5" t="str">
        <f t="shared" si="0"/>
        <v>non_refill</v>
      </c>
    </row>
    <row r="18" spans="1:6" x14ac:dyDescent="0.25">
      <c r="A18" s="11" t="s">
        <v>1</v>
      </c>
      <c r="B18" s="8" t="s">
        <v>178</v>
      </c>
      <c r="C18" s="8"/>
      <c r="D18" s="7">
        <f>_xlfn.IFNA(ROW(INDEX(all_items!$A$1:$A$57,MATCH(B18,all_items!$A$1:$A$57,0))), "")</f>
        <v>21</v>
      </c>
      <c r="E18" s="7">
        <f>_xlfn.IFNA(ROW(INDEX(all_locations!$E$1:$E$51,MATCH(A18,all_locations!$E$1:$E$51,0))), "")</f>
        <v>24</v>
      </c>
      <c r="F18" s="5" t="str">
        <f t="shared" si="0"/>
        <v>non_refill</v>
      </c>
    </row>
    <row r="19" spans="1:6" x14ac:dyDescent="0.25">
      <c r="A19" s="11" t="s">
        <v>1</v>
      </c>
      <c r="B19" s="8" t="s">
        <v>160</v>
      </c>
      <c r="C19" s="8"/>
      <c r="D19" s="7">
        <f>_xlfn.IFNA(ROW(INDEX(all_items!$A$1:$A$57,MATCH(B19,all_items!$A$1:$A$57,0))), "")</f>
        <v>2</v>
      </c>
      <c r="E19" s="7">
        <f>_xlfn.IFNA(ROW(INDEX(all_locations!$E$1:$E$51,MATCH(A19,all_locations!$E$1:$E$51,0))), "")</f>
        <v>24</v>
      </c>
      <c r="F19" s="5" t="str">
        <f t="shared" si="0"/>
        <v>non_refill</v>
      </c>
    </row>
    <row r="20" spans="1:6" x14ac:dyDescent="0.25">
      <c r="A20" s="11" t="s">
        <v>1</v>
      </c>
      <c r="B20" s="8" t="s">
        <v>188</v>
      </c>
      <c r="C20" s="8"/>
      <c r="D20" s="7">
        <f>_xlfn.IFNA(ROW(INDEX(all_items!$A$1:$A$57,MATCH(B20,all_items!$A$1:$A$57,0))), "")</f>
        <v>31</v>
      </c>
      <c r="E20" s="7">
        <f>_xlfn.IFNA(ROW(INDEX(all_locations!$E$1:$E$51,MATCH(A20,all_locations!$E$1:$E$51,0))), "")</f>
        <v>24</v>
      </c>
      <c r="F20" s="5" t="str">
        <f t="shared" si="0"/>
        <v>non_refill</v>
      </c>
    </row>
    <row r="21" spans="1:6" x14ac:dyDescent="0.25">
      <c r="A21" s="11" t="s">
        <v>1</v>
      </c>
      <c r="B21" s="8" t="s">
        <v>189</v>
      </c>
      <c r="C21" s="8"/>
      <c r="D21" s="7">
        <f>_xlfn.IFNA(ROW(INDEX(all_items!$A$1:$A$57,MATCH(B21,all_items!$A$1:$A$57,0))), "")</f>
        <v>32</v>
      </c>
      <c r="E21" s="7">
        <f>_xlfn.IFNA(ROW(INDEX(all_locations!$E$1:$E$51,MATCH(A21,all_locations!$E$1:$E$51,0))), "")</f>
        <v>24</v>
      </c>
      <c r="F21" s="5" t="str">
        <f t="shared" si="0"/>
        <v>non_refill</v>
      </c>
    </row>
    <row r="22" spans="1:6" x14ac:dyDescent="0.25">
      <c r="A22" s="11" t="s">
        <v>39</v>
      </c>
      <c r="B22" s="8" t="s">
        <v>159</v>
      </c>
      <c r="C22" s="8"/>
      <c r="D22" s="7">
        <f>_xlfn.IFNA(ROW(INDEX(all_items!$A$1:$A$57,MATCH(B22,all_items!$A$1:$A$57,0))), "")</f>
        <v>1</v>
      </c>
      <c r="E22" s="7">
        <f>_xlfn.IFNA(ROW(INDEX(all_locations!$E$1:$E$51,MATCH(A22,all_locations!$E$1:$E$51,0))), "")</f>
        <v>25</v>
      </c>
      <c r="F22" s="5" t="str">
        <f t="shared" si="0"/>
        <v>non_refill</v>
      </c>
    </row>
    <row r="23" spans="1:6" x14ac:dyDescent="0.25">
      <c r="A23" s="11" t="s">
        <v>39</v>
      </c>
      <c r="B23" s="8" t="s">
        <v>160</v>
      </c>
      <c r="C23" s="8"/>
      <c r="D23" s="7">
        <f>_xlfn.IFNA(ROW(INDEX(all_items!$A$1:$A$57,MATCH(B23,all_items!$A$1:$A$57,0))), "")</f>
        <v>2</v>
      </c>
      <c r="E23" s="7">
        <f>_xlfn.IFNA(ROW(INDEX(all_locations!$E$1:$E$51,MATCH(A23,all_locations!$E$1:$E$51,0))), "")</f>
        <v>25</v>
      </c>
      <c r="F23" s="5" t="str">
        <f t="shared" si="0"/>
        <v>non_refill</v>
      </c>
    </row>
    <row r="24" spans="1:6" x14ac:dyDescent="0.25">
      <c r="A24" s="11" t="s">
        <v>39</v>
      </c>
      <c r="B24" s="8" t="s">
        <v>162</v>
      </c>
      <c r="C24" s="8"/>
      <c r="D24" s="7">
        <f>_xlfn.IFNA(ROW(INDEX(all_items!$A$1:$A$57,MATCH(B24,all_items!$A$1:$A$57,0))), "")</f>
        <v>4</v>
      </c>
      <c r="E24" s="7">
        <f>_xlfn.IFNA(ROW(INDEX(all_locations!$E$1:$E$51,MATCH(A24,all_locations!$E$1:$E$51,0))), "")</f>
        <v>25</v>
      </c>
      <c r="F24" s="5" t="str">
        <f t="shared" si="0"/>
        <v>non_refill</v>
      </c>
    </row>
    <row r="25" spans="1:6" x14ac:dyDescent="0.25">
      <c r="A25" s="11" t="s">
        <v>39</v>
      </c>
      <c r="B25" s="8" t="s">
        <v>164</v>
      </c>
      <c r="C25" s="8"/>
      <c r="D25" s="7">
        <f>_xlfn.IFNA(ROW(INDEX(all_items!$A$1:$A$57,MATCH(B25,all_items!$A$1:$A$57,0))), "")</f>
        <v>6</v>
      </c>
      <c r="E25" s="7">
        <f>_xlfn.IFNA(ROW(INDEX(all_locations!$E$1:$E$51,MATCH(A25,all_locations!$E$1:$E$51,0))), "")</f>
        <v>25</v>
      </c>
      <c r="F25" s="5" t="str">
        <f t="shared" si="0"/>
        <v>non_refill</v>
      </c>
    </row>
    <row r="26" spans="1:6" x14ac:dyDescent="0.25">
      <c r="A26" s="11" t="s">
        <v>39</v>
      </c>
      <c r="B26" s="8" t="s">
        <v>166</v>
      </c>
      <c r="C26" s="8"/>
      <c r="D26" s="7">
        <f>_xlfn.IFNA(ROW(INDEX(all_items!$A$1:$A$57,MATCH(B26,all_items!$A$1:$A$57,0))), "")</f>
        <v>8</v>
      </c>
      <c r="E26" s="7">
        <f>_xlfn.IFNA(ROW(INDEX(all_locations!$E$1:$E$51,MATCH(A26,all_locations!$E$1:$E$51,0))), "")</f>
        <v>25</v>
      </c>
      <c r="F26" s="5" t="str">
        <f t="shared" si="0"/>
        <v>non_refill</v>
      </c>
    </row>
    <row r="27" spans="1:6" x14ac:dyDescent="0.25">
      <c r="A27" s="11" t="s">
        <v>39</v>
      </c>
      <c r="B27" s="8" t="s">
        <v>167</v>
      </c>
      <c r="C27" s="8"/>
      <c r="D27" s="7">
        <f>_xlfn.IFNA(ROW(INDEX(all_items!$A$1:$A$57,MATCH(B27,all_items!$A$1:$A$57,0))), "")</f>
        <v>9</v>
      </c>
      <c r="E27" s="7">
        <f>_xlfn.IFNA(ROW(INDEX(all_locations!$E$1:$E$51,MATCH(A27,all_locations!$E$1:$E$51,0))), "")</f>
        <v>25</v>
      </c>
      <c r="F27" s="5" t="str">
        <f t="shared" si="0"/>
        <v>non_refill</v>
      </c>
    </row>
    <row r="28" spans="1:6" x14ac:dyDescent="0.25">
      <c r="A28" s="11" t="s">
        <v>39</v>
      </c>
      <c r="B28" s="8" t="s">
        <v>161</v>
      </c>
      <c r="C28" s="8"/>
      <c r="D28" s="7">
        <f>_xlfn.IFNA(ROW(INDEX(all_items!$A$1:$A$57,MATCH(B28,all_items!$A$1:$A$57,0))), "")</f>
        <v>3</v>
      </c>
      <c r="E28" s="7">
        <f>_xlfn.IFNA(ROW(INDEX(all_locations!$E$1:$E$51,MATCH(A28,all_locations!$E$1:$E$51,0))), "")</f>
        <v>25</v>
      </c>
      <c r="F28" s="5" t="str">
        <f t="shared" si="0"/>
        <v>non_refill</v>
      </c>
    </row>
    <row r="29" spans="1:6" x14ac:dyDescent="0.25">
      <c r="A29" s="11" t="s">
        <v>39</v>
      </c>
      <c r="B29" s="8" t="s">
        <v>178</v>
      </c>
      <c r="C29" s="8"/>
      <c r="D29" s="7">
        <f>_xlfn.IFNA(ROW(INDEX(all_items!$A$1:$A$57,MATCH(B29,all_items!$A$1:$A$57,0))), "")</f>
        <v>21</v>
      </c>
      <c r="E29" s="7">
        <f>_xlfn.IFNA(ROW(INDEX(all_locations!$E$1:$E$51,MATCH(A29,all_locations!$E$1:$E$51,0))), "")</f>
        <v>25</v>
      </c>
      <c r="F29" s="5" t="str">
        <f t="shared" si="0"/>
        <v>non_refill</v>
      </c>
    </row>
    <row r="30" spans="1:6" x14ac:dyDescent="0.25">
      <c r="A30" s="11" t="s">
        <v>41</v>
      </c>
      <c r="B30" s="8" t="s">
        <v>159</v>
      </c>
      <c r="C30" s="8"/>
      <c r="D30" s="7">
        <f>_xlfn.IFNA(ROW(INDEX(all_items!$A$1:$A$57,MATCH(B30,all_items!$A$1:$A$57,0))), "")</f>
        <v>1</v>
      </c>
      <c r="E30" s="7">
        <f>_xlfn.IFNA(ROW(INDEX(all_locations!$E$1:$E$51,MATCH(A30,all_locations!$E$1:$E$51,0))), "")</f>
        <v>26</v>
      </c>
      <c r="F30" s="5" t="str">
        <f t="shared" si="0"/>
        <v>non_refill</v>
      </c>
    </row>
    <row r="31" spans="1:6" x14ac:dyDescent="0.25">
      <c r="A31" s="11" t="s">
        <v>41</v>
      </c>
      <c r="B31" s="8" t="s">
        <v>160</v>
      </c>
      <c r="C31" s="8"/>
      <c r="D31" s="7">
        <f>_xlfn.IFNA(ROW(INDEX(all_items!$A$1:$A$57,MATCH(B31,all_items!$A$1:$A$57,0))), "")</f>
        <v>2</v>
      </c>
      <c r="E31" s="7">
        <f>_xlfn.IFNA(ROW(INDEX(all_locations!$E$1:$E$51,MATCH(A31,all_locations!$E$1:$E$51,0))), "")</f>
        <v>26</v>
      </c>
      <c r="F31" s="5" t="str">
        <f t="shared" si="0"/>
        <v>non_refill</v>
      </c>
    </row>
    <row r="32" spans="1:6" x14ac:dyDescent="0.25">
      <c r="A32" s="11" t="s">
        <v>41</v>
      </c>
      <c r="B32" s="8" t="s">
        <v>162</v>
      </c>
      <c r="C32" s="8"/>
      <c r="D32" s="7">
        <f>_xlfn.IFNA(ROW(INDEX(all_items!$A$1:$A$57,MATCH(B32,all_items!$A$1:$A$57,0))), "")</f>
        <v>4</v>
      </c>
      <c r="E32" s="7">
        <f>_xlfn.IFNA(ROW(INDEX(all_locations!$E$1:$E$51,MATCH(A32,all_locations!$E$1:$E$51,0))), "")</f>
        <v>26</v>
      </c>
      <c r="F32" s="5" t="str">
        <f t="shared" si="0"/>
        <v>non_refill</v>
      </c>
    </row>
    <row r="33" spans="1:6" x14ac:dyDescent="0.25">
      <c r="A33" s="11" t="s">
        <v>41</v>
      </c>
      <c r="B33" s="8" t="s">
        <v>164</v>
      </c>
      <c r="C33" s="8"/>
      <c r="D33" s="7">
        <f>_xlfn.IFNA(ROW(INDEX(all_items!$A$1:$A$57,MATCH(B33,all_items!$A$1:$A$57,0))), "")</f>
        <v>6</v>
      </c>
      <c r="E33" s="7">
        <f>_xlfn.IFNA(ROW(INDEX(all_locations!$E$1:$E$51,MATCH(A33,all_locations!$E$1:$E$51,0))), "")</f>
        <v>26</v>
      </c>
      <c r="F33" s="5" t="str">
        <f t="shared" si="0"/>
        <v>non_refill</v>
      </c>
    </row>
    <row r="34" spans="1:6" x14ac:dyDescent="0.25">
      <c r="A34" s="11" t="s">
        <v>41</v>
      </c>
      <c r="B34" s="8" t="s">
        <v>166</v>
      </c>
      <c r="C34" s="8"/>
      <c r="D34" s="7">
        <f>_xlfn.IFNA(ROW(INDEX(all_items!$A$1:$A$57,MATCH(B34,all_items!$A$1:$A$57,0))), "")</f>
        <v>8</v>
      </c>
      <c r="E34" s="7">
        <f>_xlfn.IFNA(ROW(INDEX(all_locations!$E$1:$E$51,MATCH(A34,all_locations!$E$1:$E$51,0))), "")</f>
        <v>26</v>
      </c>
      <c r="F34" s="5" t="str">
        <f t="shared" si="0"/>
        <v>non_refill</v>
      </c>
    </row>
    <row r="35" spans="1:6" x14ac:dyDescent="0.25">
      <c r="A35" s="11" t="s">
        <v>41</v>
      </c>
      <c r="B35" s="8" t="s">
        <v>167</v>
      </c>
      <c r="C35" s="8"/>
      <c r="D35" s="7">
        <f>_xlfn.IFNA(ROW(INDEX(all_items!$A$1:$A$57,MATCH(B35,all_items!$A$1:$A$57,0))), "")</f>
        <v>9</v>
      </c>
      <c r="E35" s="7">
        <f>_xlfn.IFNA(ROW(INDEX(all_locations!$E$1:$E$51,MATCH(A35,all_locations!$E$1:$E$51,0))), "")</f>
        <v>26</v>
      </c>
      <c r="F35" s="5" t="str">
        <f t="shared" si="0"/>
        <v>non_refill</v>
      </c>
    </row>
    <row r="36" spans="1:6" x14ac:dyDescent="0.25">
      <c r="A36" s="11" t="s">
        <v>41</v>
      </c>
      <c r="B36" s="8" t="s">
        <v>168</v>
      </c>
      <c r="C36" s="8"/>
      <c r="D36" s="7">
        <f>_xlfn.IFNA(ROW(INDEX(all_items!$A$1:$A$57,MATCH(B36,all_items!$A$1:$A$57,0))), "")</f>
        <v>10</v>
      </c>
      <c r="E36" s="7">
        <f>_xlfn.IFNA(ROW(INDEX(all_locations!$E$1:$E$51,MATCH(A36,all_locations!$E$1:$E$51,0))), "")</f>
        <v>26</v>
      </c>
      <c r="F36" s="5" t="str">
        <f t="shared" si="0"/>
        <v>non_refill</v>
      </c>
    </row>
    <row r="37" spans="1:6" x14ac:dyDescent="0.25">
      <c r="A37" s="11" t="s">
        <v>41</v>
      </c>
      <c r="B37" s="8" t="s">
        <v>161</v>
      </c>
      <c r="C37" s="8"/>
      <c r="D37" s="7">
        <f>_xlfn.IFNA(ROW(INDEX(all_items!$A$1:$A$57,MATCH(B37,all_items!$A$1:$A$57,0))), "")</f>
        <v>3</v>
      </c>
      <c r="E37" s="7">
        <f>_xlfn.IFNA(ROW(INDEX(all_locations!$E$1:$E$51,MATCH(A37,all_locations!$E$1:$E$51,0))), "")</f>
        <v>26</v>
      </c>
      <c r="F37" s="5" t="str">
        <f t="shared" si="0"/>
        <v>non_refill</v>
      </c>
    </row>
    <row r="38" spans="1:6" x14ac:dyDescent="0.25">
      <c r="A38" s="11" t="s">
        <v>41</v>
      </c>
      <c r="B38" s="8" t="s">
        <v>178</v>
      </c>
      <c r="C38" s="8"/>
      <c r="D38" s="7">
        <f>_xlfn.IFNA(ROW(INDEX(all_items!$A$1:$A$57,MATCH(B38,all_items!$A$1:$A$57,0))), "")</f>
        <v>21</v>
      </c>
      <c r="E38" s="7">
        <f>_xlfn.IFNA(ROW(INDEX(all_locations!$E$1:$E$51,MATCH(A38,all_locations!$E$1:$E$51,0))), "")</f>
        <v>26</v>
      </c>
      <c r="F38" s="5" t="str">
        <f t="shared" si="0"/>
        <v>non_refill</v>
      </c>
    </row>
    <row r="39" spans="1:6" x14ac:dyDescent="0.25">
      <c r="A39" s="11" t="s">
        <v>44</v>
      </c>
      <c r="B39" s="8" t="s">
        <v>159</v>
      </c>
      <c r="C39" s="8"/>
      <c r="D39" s="7">
        <f>_xlfn.IFNA(ROW(INDEX(all_items!$A$1:$A$57,MATCH(B39,all_items!$A$1:$A$57,0))), "")</f>
        <v>1</v>
      </c>
      <c r="E39" s="7">
        <f>_xlfn.IFNA(ROW(INDEX(all_locations!$E$1:$E$51,MATCH(A39,all_locations!$E$1:$E$51,0))), "")</f>
        <v>27</v>
      </c>
      <c r="F39" s="5" t="str">
        <f t="shared" si="0"/>
        <v>non_refill</v>
      </c>
    </row>
    <row r="40" spans="1:6" x14ac:dyDescent="0.25">
      <c r="A40" s="11" t="s">
        <v>44</v>
      </c>
      <c r="B40" s="8" t="s">
        <v>160</v>
      </c>
      <c r="C40" s="8"/>
      <c r="D40" s="7">
        <f>_xlfn.IFNA(ROW(INDEX(all_items!$A$1:$A$57,MATCH(B40,all_items!$A$1:$A$57,0))), "")</f>
        <v>2</v>
      </c>
      <c r="E40" s="7">
        <f>_xlfn.IFNA(ROW(INDEX(all_locations!$E$1:$E$51,MATCH(A40,all_locations!$E$1:$E$51,0))), "")</f>
        <v>27</v>
      </c>
      <c r="F40" s="5" t="str">
        <f t="shared" si="0"/>
        <v>non_refill</v>
      </c>
    </row>
    <row r="41" spans="1:6" x14ac:dyDescent="0.25">
      <c r="A41" s="11" t="s">
        <v>44</v>
      </c>
      <c r="B41" s="8" t="s">
        <v>164</v>
      </c>
      <c r="C41" s="8"/>
      <c r="D41" s="7">
        <f>_xlfn.IFNA(ROW(INDEX(all_items!$A$1:$A$57,MATCH(B41,all_items!$A$1:$A$57,0))), "")</f>
        <v>6</v>
      </c>
      <c r="E41" s="7">
        <f>_xlfn.IFNA(ROW(INDEX(all_locations!$E$1:$E$51,MATCH(A41,all_locations!$E$1:$E$51,0))), "")</f>
        <v>27</v>
      </c>
      <c r="F41" s="5" t="str">
        <f t="shared" si="0"/>
        <v>non_refill</v>
      </c>
    </row>
    <row r="42" spans="1:6" x14ac:dyDescent="0.25">
      <c r="A42" s="11" t="s">
        <v>44</v>
      </c>
      <c r="B42" s="8" t="s">
        <v>168</v>
      </c>
      <c r="C42" s="8"/>
      <c r="D42" s="7">
        <f>_xlfn.IFNA(ROW(INDEX(all_items!$A$1:$A$57,MATCH(B42,all_items!$A$1:$A$57,0))), "")</f>
        <v>10</v>
      </c>
      <c r="E42" s="7">
        <f>_xlfn.IFNA(ROW(INDEX(all_locations!$E$1:$E$51,MATCH(A42,all_locations!$E$1:$E$51,0))), "")</f>
        <v>27</v>
      </c>
      <c r="F42" s="5" t="str">
        <f t="shared" si="0"/>
        <v>non_refill</v>
      </c>
    </row>
    <row r="43" spans="1:6" x14ac:dyDescent="0.25">
      <c r="A43" s="11" t="s">
        <v>44</v>
      </c>
      <c r="B43" s="8" t="s">
        <v>161</v>
      </c>
      <c r="C43" s="8"/>
      <c r="D43" s="7">
        <f>_xlfn.IFNA(ROW(INDEX(all_items!$A$1:$A$57,MATCH(B43,all_items!$A$1:$A$57,0))), "")</f>
        <v>3</v>
      </c>
      <c r="E43" s="7">
        <f>_xlfn.IFNA(ROW(INDEX(all_locations!$E$1:$E$51,MATCH(A43,all_locations!$E$1:$E$51,0))), "")</f>
        <v>27</v>
      </c>
      <c r="F43" s="5" t="str">
        <f t="shared" si="0"/>
        <v>non_refill</v>
      </c>
    </row>
    <row r="44" spans="1:6" x14ac:dyDescent="0.25">
      <c r="A44" s="11" t="s">
        <v>44</v>
      </c>
      <c r="B44" s="8" t="s">
        <v>178</v>
      </c>
      <c r="C44" s="8"/>
      <c r="D44" s="7">
        <f>_xlfn.IFNA(ROW(INDEX(all_items!$A$1:$A$57,MATCH(B44,all_items!$A$1:$A$57,0))), "")</f>
        <v>21</v>
      </c>
      <c r="E44" s="7">
        <f>_xlfn.IFNA(ROW(INDEX(all_locations!$E$1:$E$51,MATCH(A44,all_locations!$E$1:$E$51,0))), "")</f>
        <v>27</v>
      </c>
      <c r="F44" s="5" t="str">
        <f t="shared" si="0"/>
        <v>non_refill</v>
      </c>
    </row>
    <row r="45" spans="1:6" x14ac:dyDescent="0.25">
      <c r="A45" s="11" t="s">
        <v>47</v>
      </c>
      <c r="B45" s="8" t="s">
        <v>159</v>
      </c>
      <c r="C45" s="8"/>
      <c r="D45" s="7">
        <f>_xlfn.IFNA(ROW(INDEX(all_items!$A$1:$A$57,MATCH(B45,all_items!$A$1:$A$57,0))), "")</f>
        <v>1</v>
      </c>
      <c r="E45" s="7">
        <f>_xlfn.IFNA(ROW(INDEX(all_locations!$E$1:$E$51,MATCH(A45,all_locations!$E$1:$E$51,0))), "")</f>
        <v>28</v>
      </c>
      <c r="F45" s="5" t="str">
        <f t="shared" si="0"/>
        <v>non_refill</v>
      </c>
    </row>
    <row r="46" spans="1:6" x14ac:dyDescent="0.25">
      <c r="A46" s="11" t="s">
        <v>47</v>
      </c>
      <c r="B46" s="8" t="s">
        <v>160</v>
      </c>
      <c r="C46" s="8"/>
      <c r="D46" s="7">
        <f>_xlfn.IFNA(ROW(INDEX(all_items!$A$1:$A$57,MATCH(B46,all_items!$A$1:$A$57,0))), "")</f>
        <v>2</v>
      </c>
      <c r="E46" s="7">
        <f>_xlfn.IFNA(ROW(INDEX(all_locations!$E$1:$E$51,MATCH(A46,all_locations!$E$1:$E$51,0))), "")</f>
        <v>28</v>
      </c>
      <c r="F46" s="5" t="str">
        <f t="shared" si="0"/>
        <v>non_refill</v>
      </c>
    </row>
    <row r="47" spans="1:6" x14ac:dyDescent="0.25">
      <c r="A47" s="11" t="s">
        <v>47</v>
      </c>
      <c r="B47" s="8" t="s">
        <v>164</v>
      </c>
      <c r="C47" s="8"/>
      <c r="D47" s="7">
        <f>_xlfn.IFNA(ROW(INDEX(all_items!$A$1:$A$57,MATCH(B47,all_items!$A$1:$A$57,0))), "")</f>
        <v>6</v>
      </c>
      <c r="E47" s="7">
        <f>_xlfn.IFNA(ROW(INDEX(all_locations!$E$1:$E$51,MATCH(A47,all_locations!$E$1:$E$51,0))), "")</f>
        <v>28</v>
      </c>
      <c r="F47" s="5" t="str">
        <f t="shared" si="0"/>
        <v>non_refill</v>
      </c>
    </row>
    <row r="48" spans="1:6" x14ac:dyDescent="0.25">
      <c r="A48" s="11" t="s">
        <v>47</v>
      </c>
      <c r="B48" s="8" t="s">
        <v>167</v>
      </c>
      <c r="C48" s="8"/>
      <c r="D48" s="7">
        <f>_xlfn.IFNA(ROW(INDEX(all_items!$A$1:$A$57,MATCH(B48,all_items!$A$1:$A$57,0))), "")</f>
        <v>9</v>
      </c>
      <c r="E48" s="7">
        <f>_xlfn.IFNA(ROW(INDEX(all_locations!$E$1:$E$51,MATCH(A48,all_locations!$E$1:$E$51,0))), "")</f>
        <v>28</v>
      </c>
      <c r="F48" s="5" t="str">
        <f t="shared" si="0"/>
        <v>non_refill</v>
      </c>
    </row>
    <row r="49" spans="1:6" x14ac:dyDescent="0.25">
      <c r="A49" s="11" t="s">
        <v>47</v>
      </c>
      <c r="B49" s="8" t="s">
        <v>171</v>
      </c>
      <c r="C49" s="8"/>
      <c r="D49" s="7">
        <f>_xlfn.IFNA(ROW(INDEX(all_items!$A$1:$A$57,MATCH(B49,all_items!$A$1:$A$57,0))), "")</f>
        <v>13</v>
      </c>
      <c r="E49" s="7">
        <f>_xlfn.IFNA(ROW(INDEX(all_locations!$E$1:$E$51,MATCH(A49,all_locations!$E$1:$E$51,0))), "")</f>
        <v>28</v>
      </c>
      <c r="F49" s="5" t="str">
        <f t="shared" si="0"/>
        <v>non_refill</v>
      </c>
    </row>
    <row r="50" spans="1:6" x14ac:dyDescent="0.25">
      <c r="A50" s="11" t="s">
        <v>47</v>
      </c>
      <c r="B50" s="8" t="s">
        <v>161</v>
      </c>
      <c r="C50" s="8"/>
      <c r="D50" s="7">
        <f>_xlfn.IFNA(ROW(INDEX(all_items!$A$1:$A$57,MATCH(B50,all_items!$A$1:$A$57,0))), "")</f>
        <v>3</v>
      </c>
      <c r="E50" s="7">
        <f>_xlfn.IFNA(ROW(INDEX(all_locations!$E$1:$E$51,MATCH(A50,all_locations!$E$1:$E$51,0))), "")</f>
        <v>28</v>
      </c>
      <c r="F50" s="5" t="str">
        <f t="shared" si="0"/>
        <v>non_refill</v>
      </c>
    </row>
    <row r="51" spans="1:6" x14ac:dyDescent="0.25">
      <c r="A51" s="11" t="s">
        <v>50</v>
      </c>
      <c r="B51" s="8" t="s">
        <v>159</v>
      </c>
      <c r="C51" s="8"/>
      <c r="D51" s="7">
        <f>_xlfn.IFNA(ROW(INDEX(all_items!$A$1:$A$57,MATCH(B51,all_items!$A$1:$A$57,0))), "")</f>
        <v>1</v>
      </c>
      <c r="E51" s="7">
        <f>_xlfn.IFNA(ROW(INDEX(all_locations!$E$1:$E$51,MATCH(A51,all_locations!$E$1:$E$51,0))), "")</f>
        <v>29</v>
      </c>
      <c r="F51" s="5" t="str">
        <f t="shared" si="0"/>
        <v>non_refill</v>
      </c>
    </row>
    <row r="52" spans="1:6" x14ac:dyDescent="0.25">
      <c r="A52" s="11" t="s">
        <v>50</v>
      </c>
      <c r="B52" s="8" t="s">
        <v>160</v>
      </c>
      <c r="C52" s="8"/>
      <c r="D52" s="7">
        <f>_xlfn.IFNA(ROW(INDEX(all_items!$A$1:$A$57,MATCH(B52,all_items!$A$1:$A$57,0))), "")</f>
        <v>2</v>
      </c>
      <c r="E52" s="7">
        <f>_xlfn.IFNA(ROW(INDEX(all_locations!$E$1:$E$51,MATCH(A52,all_locations!$E$1:$E$51,0))), "")</f>
        <v>29</v>
      </c>
      <c r="F52" s="5" t="str">
        <f t="shared" si="0"/>
        <v>non_refill</v>
      </c>
    </row>
    <row r="53" spans="1:6" x14ac:dyDescent="0.25">
      <c r="A53" s="11" t="s">
        <v>50</v>
      </c>
      <c r="B53" s="8" t="s">
        <v>162</v>
      </c>
      <c r="C53" s="8"/>
      <c r="D53" s="7">
        <f>_xlfn.IFNA(ROW(INDEX(all_items!$A$1:$A$57,MATCH(B53,all_items!$A$1:$A$57,0))), "")</f>
        <v>4</v>
      </c>
      <c r="E53" s="7">
        <f>_xlfn.IFNA(ROW(INDEX(all_locations!$E$1:$E$51,MATCH(A53,all_locations!$E$1:$E$51,0))), "")</f>
        <v>29</v>
      </c>
      <c r="F53" s="5" t="str">
        <f t="shared" si="0"/>
        <v>non_refill</v>
      </c>
    </row>
    <row r="54" spans="1:6" x14ac:dyDescent="0.25">
      <c r="A54" s="11" t="s">
        <v>50</v>
      </c>
      <c r="B54" s="8" t="s">
        <v>164</v>
      </c>
      <c r="C54" s="8"/>
      <c r="D54" s="7">
        <f>_xlfn.IFNA(ROW(INDEX(all_items!$A$1:$A$57,MATCH(B54,all_items!$A$1:$A$57,0))), "")</f>
        <v>6</v>
      </c>
      <c r="E54" s="7">
        <f>_xlfn.IFNA(ROW(INDEX(all_locations!$E$1:$E$51,MATCH(A54,all_locations!$E$1:$E$51,0))), "")</f>
        <v>29</v>
      </c>
      <c r="F54" s="5" t="str">
        <f t="shared" si="0"/>
        <v>non_refill</v>
      </c>
    </row>
    <row r="55" spans="1:6" x14ac:dyDescent="0.25">
      <c r="A55" s="11" t="s">
        <v>50</v>
      </c>
      <c r="B55" s="8" t="s">
        <v>169</v>
      </c>
      <c r="C55" s="8"/>
      <c r="D55" s="7">
        <f>_xlfn.IFNA(ROW(INDEX(all_items!$A$1:$A$57,MATCH(B55,all_items!$A$1:$A$57,0))), "")</f>
        <v>11</v>
      </c>
      <c r="E55" s="7">
        <f>_xlfn.IFNA(ROW(INDEX(all_locations!$E$1:$E$51,MATCH(A55,all_locations!$E$1:$E$51,0))), "")</f>
        <v>29</v>
      </c>
      <c r="F55" s="5" t="str">
        <f t="shared" si="0"/>
        <v>non_refill</v>
      </c>
    </row>
    <row r="56" spans="1:6" x14ac:dyDescent="0.25">
      <c r="A56" s="11" t="s">
        <v>50</v>
      </c>
      <c r="B56" s="8" t="s">
        <v>161</v>
      </c>
      <c r="C56" s="8"/>
      <c r="D56" s="7">
        <f>_xlfn.IFNA(ROW(INDEX(all_items!$A$1:$A$57,MATCH(B56,all_items!$A$1:$A$57,0))), "")</f>
        <v>3</v>
      </c>
      <c r="E56" s="7">
        <f>_xlfn.IFNA(ROW(INDEX(all_locations!$E$1:$E$51,MATCH(A56,all_locations!$E$1:$E$51,0))), "")</f>
        <v>29</v>
      </c>
      <c r="F56" s="5" t="str">
        <f t="shared" si="0"/>
        <v>non_refill</v>
      </c>
    </row>
    <row r="57" spans="1:6" x14ac:dyDescent="0.25">
      <c r="A57" s="11" t="s">
        <v>53</v>
      </c>
      <c r="B57" s="8" t="s">
        <v>159</v>
      </c>
      <c r="C57" s="8"/>
      <c r="D57" s="7">
        <f>_xlfn.IFNA(ROW(INDEX(all_items!$A$1:$A$57,MATCH(B57,all_items!$A$1:$A$57,0))), "")</f>
        <v>1</v>
      </c>
      <c r="E57" s="7">
        <f>_xlfn.IFNA(ROW(INDEX(all_locations!$E$1:$E$51,MATCH(A57,all_locations!$E$1:$E$51,0))), "")</f>
        <v>30</v>
      </c>
      <c r="F57" s="5" t="str">
        <f t="shared" si="0"/>
        <v>non_refill</v>
      </c>
    </row>
    <row r="58" spans="1:6" x14ac:dyDescent="0.25">
      <c r="A58" s="11" t="s">
        <v>53</v>
      </c>
      <c r="B58" s="8" t="s">
        <v>160</v>
      </c>
      <c r="C58" s="8"/>
      <c r="D58" s="7">
        <f>_xlfn.IFNA(ROW(INDEX(all_items!$A$1:$A$57,MATCH(B58,all_items!$A$1:$A$57,0))), "")</f>
        <v>2</v>
      </c>
      <c r="E58" s="7">
        <f>_xlfn.IFNA(ROW(INDEX(all_locations!$E$1:$E$51,MATCH(A58,all_locations!$E$1:$E$51,0))), "")</f>
        <v>30</v>
      </c>
      <c r="F58" s="5" t="str">
        <f t="shared" si="0"/>
        <v>non_refill</v>
      </c>
    </row>
    <row r="59" spans="1:6" x14ac:dyDescent="0.25">
      <c r="A59" s="11" t="s">
        <v>53</v>
      </c>
      <c r="B59" s="8" t="s">
        <v>162</v>
      </c>
      <c r="C59" s="8"/>
      <c r="D59" s="7">
        <f>_xlfn.IFNA(ROW(INDEX(all_items!$A$1:$A$57,MATCH(B59,all_items!$A$1:$A$57,0))), "")</f>
        <v>4</v>
      </c>
      <c r="E59" s="7">
        <f>_xlfn.IFNA(ROW(INDEX(all_locations!$E$1:$E$51,MATCH(A59,all_locations!$E$1:$E$51,0))), "")</f>
        <v>30</v>
      </c>
      <c r="F59" s="5" t="str">
        <f t="shared" si="0"/>
        <v>non_refill</v>
      </c>
    </row>
    <row r="60" spans="1:6" x14ac:dyDescent="0.25">
      <c r="A60" s="11" t="s">
        <v>53</v>
      </c>
      <c r="B60" s="8" t="s">
        <v>164</v>
      </c>
      <c r="C60" s="8"/>
      <c r="D60" s="7">
        <f>_xlfn.IFNA(ROW(INDEX(all_items!$A$1:$A$57,MATCH(B60,all_items!$A$1:$A$57,0))), "")</f>
        <v>6</v>
      </c>
      <c r="E60" s="7">
        <f>_xlfn.IFNA(ROW(INDEX(all_locations!$E$1:$E$51,MATCH(A60,all_locations!$E$1:$E$51,0))), "")</f>
        <v>30</v>
      </c>
      <c r="F60" s="5" t="str">
        <f t="shared" si="0"/>
        <v>non_refill</v>
      </c>
    </row>
    <row r="61" spans="1:6" x14ac:dyDescent="0.25">
      <c r="A61" s="11" t="s">
        <v>53</v>
      </c>
      <c r="B61" s="8" t="s">
        <v>161</v>
      </c>
      <c r="C61" s="8"/>
      <c r="D61" s="7">
        <f>_xlfn.IFNA(ROW(INDEX(all_items!$A$1:$A$57,MATCH(B61,all_items!$A$1:$A$57,0))), "")</f>
        <v>3</v>
      </c>
      <c r="E61" s="7">
        <f>_xlfn.IFNA(ROW(INDEX(all_locations!$E$1:$E$51,MATCH(A61,all_locations!$E$1:$E$51,0))), "")</f>
        <v>30</v>
      </c>
      <c r="F61" s="5" t="str">
        <f t="shared" si="0"/>
        <v>non_refill</v>
      </c>
    </row>
    <row r="62" spans="1:6" x14ac:dyDescent="0.25">
      <c r="A62" s="11" t="s">
        <v>56</v>
      </c>
      <c r="B62" s="8" t="s">
        <v>159</v>
      </c>
      <c r="C62" s="8"/>
      <c r="D62" s="7">
        <f>_xlfn.IFNA(ROW(INDEX(all_items!$A$1:$A$57,MATCH(B62,all_items!$A$1:$A$57,0))), "")</f>
        <v>1</v>
      </c>
      <c r="E62" s="7">
        <f>_xlfn.IFNA(ROW(INDEX(all_locations!$E$1:$E$51,MATCH(A62,all_locations!$E$1:$E$51,0))), "")</f>
        <v>31</v>
      </c>
      <c r="F62" s="5" t="str">
        <f t="shared" si="0"/>
        <v>non_refill</v>
      </c>
    </row>
    <row r="63" spans="1:6" x14ac:dyDescent="0.25">
      <c r="A63" s="11" t="s">
        <v>56</v>
      </c>
      <c r="B63" s="8" t="s">
        <v>160</v>
      </c>
      <c r="C63" s="8"/>
      <c r="D63" s="7">
        <f>_xlfn.IFNA(ROW(INDEX(all_items!$A$1:$A$57,MATCH(B63,all_items!$A$1:$A$57,0))), "")</f>
        <v>2</v>
      </c>
      <c r="E63" s="7">
        <f>_xlfn.IFNA(ROW(INDEX(all_locations!$E$1:$E$51,MATCH(A63,all_locations!$E$1:$E$51,0))), "")</f>
        <v>31</v>
      </c>
      <c r="F63" s="5" t="str">
        <f t="shared" si="0"/>
        <v>non_refill</v>
      </c>
    </row>
    <row r="64" spans="1:6" x14ac:dyDescent="0.25">
      <c r="A64" s="11" t="s">
        <v>56</v>
      </c>
      <c r="B64" s="8" t="s">
        <v>162</v>
      </c>
      <c r="C64" s="8"/>
      <c r="D64" s="7">
        <f>_xlfn.IFNA(ROW(INDEX(all_items!$A$1:$A$57,MATCH(B64,all_items!$A$1:$A$57,0))), "")</f>
        <v>4</v>
      </c>
      <c r="E64" s="7">
        <f>_xlfn.IFNA(ROW(INDEX(all_locations!$E$1:$E$51,MATCH(A64,all_locations!$E$1:$E$51,0))), "")</f>
        <v>31</v>
      </c>
      <c r="F64" s="5" t="str">
        <f t="shared" si="0"/>
        <v>non_refill</v>
      </c>
    </row>
    <row r="65" spans="1:6" x14ac:dyDescent="0.25">
      <c r="A65" s="11" t="s">
        <v>56</v>
      </c>
      <c r="B65" s="8" t="s">
        <v>164</v>
      </c>
      <c r="C65" s="8"/>
      <c r="D65" s="7">
        <f>_xlfn.IFNA(ROW(INDEX(all_items!$A$1:$A$57,MATCH(B65,all_items!$A$1:$A$57,0))), "")</f>
        <v>6</v>
      </c>
      <c r="E65" s="7">
        <f>_xlfn.IFNA(ROW(INDEX(all_locations!$E$1:$E$51,MATCH(A65,all_locations!$E$1:$E$51,0))), "")</f>
        <v>31</v>
      </c>
      <c r="F65" s="5" t="str">
        <f t="shared" si="0"/>
        <v>non_refill</v>
      </c>
    </row>
    <row r="66" spans="1:6" x14ac:dyDescent="0.25">
      <c r="A66" s="11" t="s">
        <v>56</v>
      </c>
      <c r="B66" s="8" t="s">
        <v>166</v>
      </c>
      <c r="C66" s="8"/>
      <c r="D66" s="7">
        <f>_xlfn.IFNA(ROW(INDEX(all_items!$A$1:$A$57,MATCH(B66,all_items!$A$1:$A$57,0))), "")</f>
        <v>8</v>
      </c>
      <c r="E66" s="7">
        <f>_xlfn.IFNA(ROW(INDEX(all_locations!$E$1:$E$51,MATCH(A66,all_locations!$E$1:$E$51,0))), "")</f>
        <v>31</v>
      </c>
      <c r="F66" s="5" t="str">
        <f t="shared" si="0"/>
        <v>non_refill</v>
      </c>
    </row>
    <row r="67" spans="1:6" x14ac:dyDescent="0.25">
      <c r="A67" s="11" t="s">
        <v>56</v>
      </c>
      <c r="B67" s="8" t="s">
        <v>167</v>
      </c>
      <c r="C67" s="8"/>
      <c r="D67" s="7">
        <f>_xlfn.IFNA(ROW(INDEX(all_items!$A$1:$A$57,MATCH(B67,all_items!$A$1:$A$57,0))), "")</f>
        <v>9</v>
      </c>
      <c r="E67" s="7">
        <f>_xlfn.IFNA(ROW(INDEX(all_locations!$E$1:$E$51,MATCH(A67,all_locations!$E$1:$E$51,0))), "")</f>
        <v>31</v>
      </c>
      <c r="F67" s="5" t="str">
        <f t="shared" ref="F67:F130" si="1">IF(OR(B67="sabun_cuci_tangan",B67="tisu",B67="pengharum_ruangan",B67="kamper"),"refill","non_refill")</f>
        <v>non_refill</v>
      </c>
    </row>
    <row r="68" spans="1:6" x14ac:dyDescent="0.25">
      <c r="A68" s="11" t="s">
        <v>56</v>
      </c>
      <c r="B68" s="8" t="s">
        <v>171</v>
      </c>
      <c r="C68" s="8"/>
      <c r="D68" s="7">
        <f>_xlfn.IFNA(ROW(INDEX(all_items!$A$1:$A$57,MATCH(B68,all_items!$A$1:$A$57,0))), "")</f>
        <v>13</v>
      </c>
      <c r="E68" s="7">
        <f>_xlfn.IFNA(ROW(INDEX(all_locations!$E$1:$E$51,MATCH(A68,all_locations!$E$1:$E$51,0))), "")</f>
        <v>31</v>
      </c>
      <c r="F68" s="5" t="str">
        <f t="shared" si="1"/>
        <v>non_refill</v>
      </c>
    </row>
    <row r="69" spans="1:6" x14ac:dyDescent="0.25">
      <c r="A69" s="11" t="s">
        <v>56</v>
      </c>
      <c r="B69" s="8" t="s">
        <v>161</v>
      </c>
      <c r="C69" s="8"/>
      <c r="D69" s="7">
        <f>_xlfn.IFNA(ROW(INDEX(all_items!$A$1:$A$57,MATCH(B69,all_items!$A$1:$A$57,0))), "")</f>
        <v>3</v>
      </c>
      <c r="E69" s="7">
        <f>_xlfn.IFNA(ROW(INDEX(all_locations!$E$1:$E$51,MATCH(A69,all_locations!$E$1:$E$51,0))), "")</f>
        <v>31</v>
      </c>
      <c r="F69" s="5" t="str">
        <f t="shared" si="1"/>
        <v>non_refill</v>
      </c>
    </row>
    <row r="70" spans="1:6" x14ac:dyDescent="0.25">
      <c r="A70" s="11" t="s">
        <v>56</v>
      </c>
      <c r="B70" s="8" t="s">
        <v>178</v>
      </c>
      <c r="C70" s="8"/>
      <c r="D70" s="7">
        <f>_xlfn.IFNA(ROW(INDEX(all_items!$A$1:$A$57,MATCH(B70,all_items!$A$1:$A$57,0))), "")</f>
        <v>21</v>
      </c>
      <c r="E70" s="7">
        <f>_xlfn.IFNA(ROW(INDEX(all_locations!$E$1:$E$51,MATCH(A70,all_locations!$E$1:$E$51,0))), "")</f>
        <v>31</v>
      </c>
      <c r="F70" s="5" t="str">
        <f t="shared" si="1"/>
        <v>non_refill</v>
      </c>
    </row>
    <row r="71" spans="1:6" x14ac:dyDescent="0.25">
      <c r="A71" s="11" t="s">
        <v>2</v>
      </c>
      <c r="B71" s="8" t="s">
        <v>159</v>
      </c>
      <c r="C71" s="8"/>
      <c r="D71" s="7">
        <f>_xlfn.IFNA(ROW(INDEX(all_items!$A$1:$A$57,MATCH(B71,all_items!$A$1:$A$57,0))), "")</f>
        <v>1</v>
      </c>
      <c r="E71" s="7">
        <f>_xlfn.IFNA(ROW(INDEX(all_locations!$E$1:$E$51,MATCH(A71,all_locations!$E$1:$E$51,0))), "")</f>
        <v>32</v>
      </c>
      <c r="F71" s="5" t="str">
        <f t="shared" si="1"/>
        <v>non_refill</v>
      </c>
    </row>
    <row r="72" spans="1:6" x14ac:dyDescent="0.25">
      <c r="A72" s="11" t="s">
        <v>2</v>
      </c>
      <c r="B72" s="8" t="s">
        <v>160</v>
      </c>
      <c r="C72" s="8"/>
      <c r="D72" s="7">
        <f>_xlfn.IFNA(ROW(INDEX(all_items!$A$1:$A$57,MATCH(B72,all_items!$A$1:$A$57,0))), "")</f>
        <v>2</v>
      </c>
      <c r="E72" s="7">
        <f>_xlfn.IFNA(ROW(INDEX(all_locations!$E$1:$E$51,MATCH(A72,all_locations!$E$1:$E$51,0))), "")</f>
        <v>32</v>
      </c>
      <c r="F72" s="5" t="str">
        <f t="shared" si="1"/>
        <v>non_refill</v>
      </c>
    </row>
    <row r="73" spans="1:6" x14ac:dyDescent="0.25">
      <c r="A73" s="11" t="s">
        <v>2</v>
      </c>
      <c r="B73" s="8" t="s">
        <v>164</v>
      </c>
      <c r="C73" s="8"/>
      <c r="D73" s="7">
        <f>_xlfn.IFNA(ROW(INDEX(all_items!$A$1:$A$57,MATCH(B73,all_items!$A$1:$A$57,0))), "")</f>
        <v>6</v>
      </c>
      <c r="E73" s="7">
        <f>_xlfn.IFNA(ROW(INDEX(all_locations!$E$1:$E$51,MATCH(A73,all_locations!$E$1:$E$51,0))), "")</f>
        <v>32</v>
      </c>
      <c r="F73" s="5" t="str">
        <f t="shared" si="1"/>
        <v>non_refill</v>
      </c>
    </row>
    <row r="74" spans="1:6" x14ac:dyDescent="0.25">
      <c r="A74" s="11" t="s">
        <v>2</v>
      </c>
      <c r="B74" s="8" t="s">
        <v>167</v>
      </c>
      <c r="C74" s="8"/>
      <c r="D74" s="7">
        <f>_xlfn.IFNA(ROW(INDEX(all_items!$A$1:$A$57,MATCH(B74,all_items!$A$1:$A$57,0))), "")</f>
        <v>9</v>
      </c>
      <c r="E74" s="7">
        <f>_xlfn.IFNA(ROW(INDEX(all_locations!$E$1:$E$51,MATCH(A74,all_locations!$E$1:$E$51,0))), "")</f>
        <v>32</v>
      </c>
      <c r="F74" s="5" t="str">
        <f t="shared" si="1"/>
        <v>non_refill</v>
      </c>
    </row>
    <row r="75" spans="1:6" x14ac:dyDescent="0.25">
      <c r="A75" s="11" t="s">
        <v>2</v>
      </c>
      <c r="B75" s="8" t="s">
        <v>171</v>
      </c>
      <c r="C75" s="8"/>
      <c r="D75" s="7">
        <f>_xlfn.IFNA(ROW(INDEX(all_items!$A$1:$A$57,MATCH(B75,all_items!$A$1:$A$57,0))), "")</f>
        <v>13</v>
      </c>
      <c r="E75" s="7">
        <f>_xlfn.IFNA(ROW(INDEX(all_locations!$E$1:$E$51,MATCH(A75,all_locations!$E$1:$E$51,0))), "")</f>
        <v>32</v>
      </c>
      <c r="F75" s="5" t="str">
        <f t="shared" si="1"/>
        <v>non_refill</v>
      </c>
    </row>
    <row r="76" spans="1:6" x14ac:dyDescent="0.25">
      <c r="A76" s="11" t="s">
        <v>2</v>
      </c>
      <c r="B76" s="8" t="s">
        <v>172</v>
      </c>
      <c r="C76" s="8"/>
      <c r="D76" s="7">
        <f>_xlfn.IFNA(ROW(INDEX(all_items!$A$1:$A$57,MATCH(B76,all_items!$A$1:$A$57,0))), "")</f>
        <v>14</v>
      </c>
      <c r="E76" s="7">
        <f>_xlfn.IFNA(ROW(INDEX(all_locations!$E$1:$E$51,MATCH(A76,all_locations!$E$1:$E$51,0))), "")</f>
        <v>32</v>
      </c>
      <c r="F76" s="5" t="str">
        <f t="shared" si="1"/>
        <v>refill</v>
      </c>
    </row>
    <row r="77" spans="1:6" x14ac:dyDescent="0.25">
      <c r="A77" s="11" t="s">
        <v>60</v>
      </c>
      <c r="B77" s="8" t="s">
        <v>159</v>
      </c>
      <c r="C77" s="8"/>
      <c r="D77" s="7">
        <f>_xlfn.IFNA(ROW(INDEX(all_items!$A$1:$A$57,MATCH(B77,all_items!$A$1:$A$57,0))), "")</f>
        <v>1</v>
      </c>
      <c r="E77" s="7">
        <f>_xlfn.IFNA(ROW(INDEX(all_locations!$E$1:$E$51,MATCH(A77,all_locations!$E$1:$E$51,0))), "")</f>
        <v>33</v>
      </c>
      <c r="F77" s="5" t="str">
        <f t="shared" si="1"/>
        <v>non_refill</v>
      </c>
    </row>
    <row r="78" spans="1:6" x14ac:dyDescent="0.25">
      <c r="A78" s="11" t="s">
        <v>60</v>
      </c>
      <c r="B78" s="8" t="s">
        <v>160</v>
      </c>
      <c r="C78" s="8"/>
      <c r="D78" s="7">
        <f>_xlfn.IFNA(ROW(INDEX(all_items!$A$1:$A$57,MATCH(B78,all_items!$A$1:$A$57,0))), "")</f>
        <v>2</v>
      </c>
      <c r="E78" s="7">
        <f>_xlfn.IFNA(ROW(INDEX(all_locations!$E$1:$E$51,MATCH(A78,all_locations!$E$1:$E$51,0))), "")</f>
        <v>33</v>
      </c>
      <c r="F78" s="5" t="str">
        <f t="shared" si="1"/>
        <v>non_refill</v>
      </c>
    </row>
    <row r="79" spans="1:6" x14ac:dyDescent="0.25">
      <c r="A79" s="11" t="s">
        <v>60</v>
      </c>
      <c r="B79" s="8" t="s">
        <v>162</v>
      </c>
      <c r="C79" s="8"/>
      <c r="D79" s="7">
        <f>_xlfn.IFNA(ROW(INDEX(all_items!$A$1:$A$57,MATCH(B79,all_items!$A$1:$A$57,0))), "")</f>
        <v>4</v>
      </c>
      <c r="E79" s="7">
        <f>_xlfn.IFNA(ROW(INDEX(all_locations!$E$1:$E$51,MATCH(A79,all_locations!$E$1:$E$51,0))), "")</f>
        <v>33</v>
      </c>
      <c r="F79" s="5" t="str">
        <f t="shared" si="1"/>
        <v>non_refill</v>
      </c>
    </row>
    <row r="80" spans="1:6" x14ac:dyDescent="0.25">
      <c r="A80" s="11" t="s">
        <v>60</v>
      </c>
      <c r="B80" s="10" t="s">
        <v>164</v>
      </c>
      <c r="C80" s="8"/>
      <c r="D80" s="7">
        <f>_xlfn.IFNA(ROW(INDEX(all_items!$A$1:$A$57,MATCH(B80,all_items!$A$1:$A$57,0))), "")</f>
        <v>6</v>
      </c>
      <c r="E80" s="7">
        <f>_xlfn.IFNA(ROW(INDEX(all_locations!$E$1:$E$51,MATCH(A80,all_locations!$E$1:$E$51,0))), "")</f>
        <v>33</v>
      </c>
      <c r="F80" s="5" t="str">
        <f t="shared" si="1"/>
        <v>non_refill</v>
      </c>
    </row>
    <row r="81" spans="1:6" x14ac:dyDescent="0.25">
      <c r="A81" s="11" t="s">
        <v>60</v>
      </c>
      <c r="B81" s="8" t="s">
        <v>167</v>
      </c>
      <c r="C81" s="8"/>
      <c r="D81" s="7">
        <f>_xlfn.IFNA(ROW(INDEX(all_items!$A$1:$A$57,MATCH(B81,all_items!$A$1:$A$57,0))), "")</f>
        <v>9</v>
      </c>
      <c r="E81" s="7">
        <f>_xlfn.IFNA(ROW(INDEX(all_locations!$E$1:$E$51,MATCH(A81,all_locations!$E$1:$E$51,0))), "")</f>
        <v>33</v>
      </c>
      <c r="F81" s="5" t="str">
        <f t="shared" si="1"/>
        <v>non_refill</v>
      </c>
    </row>
    <row r="82" spans="1:6" x14ac:dyDescent="0.25">
      <c r="A82" s="11" t="s">
        <v>60</v>
      </c>
      <c r="B82" s="8" t="s">
        <v>169</v>
      </c>
      <c r="C82" s="8"/>
      <c r="D82" s="7">
        <f>_xlfn.IFNA(ROW(INDEX(all_items!$A$1:$A$57,MATCH(B82,all_items!$A$1:$A$57,0))), "")</f>
        <v>11</v>
      </c>
      <c r="E82" s="7">
        <f>_xlfn.IFNA(ROW(INDEX(all_locations!$E$1:$E$51,MATCH(A82,all_locations!$E$1:$E$51,0))), "")</f>
        <v>33</v>
      </c>
      <c r="F82" s="5" t="str">
        <f t="shared" si="1"/>
        <v>non_refill</v>
      </c>
    </row>
    <row r="83" spans="1:6" x14ac:dyDescent="0.25">
      <c r="A83" s="11" t="s">
        <v>60</v>
      </c>
      <c r="B83" s="8" t="s">
        <v>161</v>
      </c>
      <c r="C83" s="8"/>
      <c r="D83" s="7">
        <f>_xlfn.IFNA(ROW(INDEX(all_items!$A$1:$A$57,MATCH(B83,all_items!$A$1:$A$57,0))), "")</f>
        <v>3</v>
      </c>
      <c r="E83" s="7">
        <f>_xlfn.IFNA(ROW(INDEX(all_locations!$E$1:$E$51,MATCH(A83,all_locations!$E$1:$E$51,0))), "")</f>
        <v>33</v>
      </c>
      <c r="F83" s="5" t="str">
        <f t="shared" si="1"/>
        <v>non_refill</v>
      </c>
    </row>
    <row r="84" spans="1:6" x14ac:dyDescent="0.25">
      <c r="A84" s="11" t="s">
        <v>60</v>
      </c>
      <c r="B84" s="8" t="s">
        <v>178</v>
      </c>
      <c r="C84" s="8"/>
      <c r="D84" s="7">
        <f>_xlfn.IFNA(ROW(INDEX(all_items!$A$1:$A$57,MATCH(B84,all_items!$A$1:$A$57,0))), "")</f>
        <v>21</v>
      </c>
      <c r="E84" s="7">
        <f>_xlfn.IFNA(ROW(INDEX(all_locations!$E$1:$E$51,MATCH(A84,all_locations!$E$1:$E$51,0))), "")</f>
        <v>33</v>
      </c>
      <c r="F84" s="5" t="str">
        <f t="shared" si="1"/>
        <v>non_refill</v>
      </c>
    </row>
    <row r="85" spans="1:6" x14ac:dyDescent="0.25">
      <c r="A85" s="11" t="s">
        <v>62</v>
      </c>
      <c r="B85" s="8" t="s">
        <v>159</v>
      </c>
      <c r="C85" s="8"/>
      <c r="D85" s="7">
        <f>_xlfn.IFNA(ROW(INDEX(all_items!$A$1:$A$57,MATCH(B85,all_items!$A$1:$A$57,0))), "")</f>
        <v>1</v>
      </c>
      <c r="E85" s="7">
        <f>_xlfn.IFNA(ROW(INDEX(all_locations!$E$1:$E$51,MATCH(A85,all_locations!$E$1:$E$51,0))), "")</f>
        <v>34</v>
      </c>
      <c r="F85" s="5" t="str">
        <f t="shared" si="1"/>
        <v>non_refill</v>
      </c>
    </row>
    <row r="86" spans="1:6" x14ac:dyDescent="0.25">
      <c r="A86" s="11" t="s">
        <v>62</v>
      </c>
      <c r="B86" s="8" t="s">
        <v>160</v>
      </c>
      <c r="C86" s="8"/>
      <c r="D86" s="7">
        <f>_xlfn.IFNA(ROW(INDEX(all_items!$A$1:$A$57,MATCH(B86,all_items!$A$1:$A$57,0))), "")</f>
        <v>2</v>
      </c>
      <c r="E86" s="7">
        <f>_xlfn.IFNA(ROW(INDEX(all_locations!$E$1:$E$51,MATCH(A86,all_locations!$E$1:$E$51,0))), "")</f>
        <v>34</v>
      </c>
      <c r="F86" s="5" t="str">
        <f t="shared" si="1"/>
        <v>non_refill</v>
      </c>
    </row>
    <row r="87" spans="1:6" x14ac:dyDescent="0.25">
      <c r="A87" s="11" t="s">
        <v>62</v>
      </c>
      <c r="B87" s="8" t="s">
        <v>164</v>
      </c>
      <c r="C87" s="8"/>
      <c r="D87" s="7">
        <f>_xlfn.IFNA(ROW(INDEX(all_items!$A$1:$A$57,MATCH(B87,all_items!$A$1:$A$57,0))), "")</f>
        <v>6</v>
      </c>
      <c r="E87" s="7">
        <f>_xlfn.IFNA(ROW(INDEX(all_locations!$E$1:$E$51,MATCH(A87,all_locations!$E$1:$E$51,0))), "")</f>
        <v>34</v>
      </c>
      <c r="F87" s="5" t="str">
        <f t="shared" si="1"/>
        <v>non_refill</v>
      </c>
    </row>
    <row r="88" spans="1:6" x14ac:dyDescent="0.25">
      <c r="A88" s="11" t="s">
        <v>62</v>
      </c>
      <c r="B88" s="8" t="s">
        <v>167</v>
      </c>
      <c r="C88" s="8"/>
      <c r="D88" s="7">
        <f>_xlfn.IFNA(ROW(INDEX(all_items!$A$1:$A$57,MATCH(B88,all_items!$A$1:$A$57,0))), "")</f>
        <v>9</v>
      </c>
      <c r="E88" s="7">
        <f>_xlfn.IFNA(ROW(INDEX(all_locations!$E$1:$E$51,MATCH(A88,all_locations!$E$1:$E$51,0))), "")</f>
        <v>34</v>
      </c>
      <c r="F88" s="5" t="str">
        <f t="shared" si="1"/>
        <v>non_refill</v>
      </c>
    </row>
    <row r="89" spans="1:6" x14ac:dyDescent="0.25">
      <c r="A89" s="11" t="s">
        <v>62</v>
      </c>
      <c r="B89" s="8" t="s">
        <v>171</v>
      </c>
      <c r="C89" s="8"/>
      <c r="D89" s="7">
        <f>_xlfn.IFNA(ROW(INDEX(all_items!$A$1:$A$57,MATCH(B89,all_items!$A$1:$A$57,0))), "")</f>
        <v>13</v>
      </c>
      <c r="E89" s="7">
        <f>_xlfn.IFNA(ROW(INDEX(all_locations!$E$1:$E$51,MATCH(A89,all_locations!$E$1:$E$51,0))), "")</f>
        <v>34</v>
      </c>
      <c r="F89" s="5" t="str">
        <f t="shared" si="1"/>
        <v>non_refill</v>
      </c>
    </row>
    <row r="90" spans="1:6" x14ac:dyDescent="0.25">
      <c r="A90" s="11" t="s">
        <v>62</v>
      </c>
      <c r="B90" s="8" t="s">
        <v>172</v>
      </c>
      <c r="C90" s="8"/>
      <c r="D90" s="7">
        <f>_xlfn.IFNA(ROW(INDEX(all_items!$A$1:$A$57,MATCH(B90,all_items!$A$1:$A$57,0))), "")</f>
        <v>14</v>
      </c>
      <c r="E90" s="7">
        <f>_xlfn.IFNA(ROW(INDEX(all_locations!$E$1:$E$51,MATCH(A90,all_locations!$E$1:$E$51,0))), "")</f>
        <v>34</v>
      </c>
      <c r="F90" s="5" t="str">
        <f t="shared" si="1"/>
        <v>refill</v>
      </c>
    </row>
    <row r="91" spans="1:6" x14ac:dyDescent="0.25">
      <c r="A91" s="11" t="s">
        <v>62</v>
      </c>
      <c r="B91" s="8" t="s">
        <v>173</v>
      </c>
      <c r="C91" s="8"/>
      <c r="D91" s="7">
        <f>_xlfn.IFNA(ROW(INDEX(all_items!$A$1:$A$57,MATCH(B91,all_items!$A$1:$A$57,0))), "")</f>
        <v>15</v>
      </c>
      <c r="E91" s="7">
        <f>_xlfn.IFNA(ROW(INDEX(all_locations!$E$1:$E$51,MATCH(A91,all_locations!$E$1:$E$51,0))), "")</f>
        <v>34</v>
      </c>
      <c r="F91" s="5" t="str">
        <f t="shared" si="1"/>
        <v>non_refill</v>
      </c>
    </row>
    <row r="92" spans="1:6" x14ac:dyDescent="0.25">
      <c r="A92" s="11" t="s">
        <v>62</v>
      </c>
      <c r="B92" s="8" t="s">
        <v>179</v>
      </c>
      <c r="C92" s="8"/>
      <c r="D92" s="7">
        <f>_xlfn.IFNA(ROW(INDEX(all_items!$A$1:$A$57,MATCH(B92,all_items!$A$1:$A$57,0))), "")</f>
        <v>22</v>
      </c>
      <c r="E92" s="7">
        <f>_xlfn.IFNA(ROW(INDEX(all_locations!$E$1:$E$51,MATCH(A92,all_locations!$E$1:$E$51,0))), "")</f>
        <v>34</v>
      </c>
      <c r="F92" s="5" t="str">
        <f t="shared" si="1"/>
        <v>non_refill</v>
      </c>
    </row>
    <row r="93" spans="1:6" x14ac:dyDescent="0.25">
      <c r="A93" s="11" t="s">
        <v>62</v>
      </c>
      <c r="B93" s="8" t="s">
        <v>180</v>
      </c>
      <c r="C93" s="8"/>
      <c r="D93" s="7">
        <f>_xlfn.IFNA(ROW(INDEX(all_items!$A$1:$A$57,MATCH(B93,all_items!$A$1:$A$57,0))), "")</f>
        <v>23</v>
      </c>
      <c r="E93" s="7">
        <f>_xlfn.IFNA(ROW(INDEX(all_locations!$E$1:$E$51,MATCH(A93,all_locations!$E$1:$E$51,0))), "")</f>
        <v>34</v>
      </c>
      <c r="F93" s="5" t="str">
        <f t="shared" si="1"/>
        <v>non_refill</v>
      </c>
    </row>
    <row r="94" spans="1:6" x14ac:dyDescent="0.25">
      <c r="A94" s="11" t="s">
        <v>64</v>
      </c>
      <c r="B94" s="8" t="s">
        <v>159</v>
      </c>
      <c r="C94" s="8"/>
      <c r="D94" s="7">
        <f>_xlfn.IFNA(ROW(INDEX(all_items!$A$1:$A$57,MATCH(B94,all_items!$A$1:$A$57,0))), "")</f>
        <v>1</v>
      </c>
      <c r="E94" s="7">
        <f>_xlfn.IFNA(ROW(INDEX(all_locations!$E$1:$E$51,MATCH(A94,all_locations!$E$1:$E$51,0))), "")</f>
        <v>35</v>
      </c>
      <c r="F94" s="5" t="str">
        <f t="shared" si="1"/>
        <v>non_refill</v>
      </c>
    </row>
    <row r="95" spans="1:6" x14ac:dyDescent="0.25">
      <c r="A95" s="11" t="s">
        <v>64</v>
      </c>
      <c r="B95" s="8" t="s">
        <v>160</v>
      </c>
      <c r="C95" s="8"/>
      <c r="D95" s="7">
        <f>_xlfn.IFNA(ROW(INDEX(all_items!$A$1:$A$57,MATCH(B95,all_items!$A$1:$A$57,0))), "")</f>
        <v>2</v>
      </c>
      <c r="E95" s="7">
        <f>_xlfn.IFNA(ROW(INDEX(all_locations!$E$1:$E$51,MATCH(A95,all_locations!$E$1:$E$51,0))), "")</f>
        <v>35</v>
      </c>
      <c r="F95" s="5" t="str">
        <f t="shared" si="1"/>
        <v>non_refill</v>
      </c>
    </row>
    <row r="96" spans="1:6" x14ac:dyDescent="0.25">
      <c r="A96" s="11" t="s">
        <v>64</v>
      </c>
      <c r="B96" s="8" t="s">
        <v>165</v>
      </c>
      <c r="C96" s="8"/>
      <c r="D96" s="7">
        <f>_xlfn.IFNA(ROW(INDEX(all_items!$A$1:$A$57,MATCH(B96,all_items!$A$1:$A$57,0))), "")</f>
        <v>7</v>
      </c>
      <c r="E96" s="7">
        <f>_xlfn.IFNA(ROW(INDEX(all_locations!$E$1:$E$51,MATCH(A96,all_locations!$E$1:$E$51,0))), "")</f>
        <v>35</v>
      </c>
      <c r="F96" s="5" t="str">
        <f t="shared" si="1"/>
        <v>non_refill</v>
      </c>
    </row>
    <row r="97" spans="1:6" x14ac:dyDescent="0.25">
      <c r="A97" s="11" t="s">
        <v>64</v>
      </c>
      <c r="B97" s="8" t="s">
        <v>167</v>
      </c>
      <c r="C97" s="8"/>
      <c r="D97" s="7">
        <f>_xlfn.IFNA(ROW(INDEX(all_items!$A$1:$A$57,MATCH(B97,all_items!$A$1:$A$57,0))), "")</f>
        <v>9</v>
      </c>
      <c r="E97" s="7">
        <f>_xlfn.IFNA(ROW(INDEX(all_locations!$E$1:$E$51,MATCH(A97,all_locations!$E$1:$E$51,0))), "")</f>
        <v>35</v>
      </c>
      <c r="F97" s="5" t="str">
        <f t="shared" si="1"/>
        <v>non_refill</v>
      </c>
    </row>
    <row r="98" spans="1:6" x14ac:dyDescent="0.25">
      <c r="A98" s="11" t="s">
        <v>64</v>
      </c>
      <c r="B98" s="8" t="s">
        <v>171</v>
      </c>
      <c r="C98" s="8"/>
      <c r="D98" s="7">
        <f>_xlfn.IFNA(ROW(INDEX(all_items!$A$1:$A$57,MATCH(B98,all_items!$A$1:$A$57,0))), "")</f>
        <v>13</v>
      </c>
      <c r="E98" s="7">
        <f>_xlfn.IFNA(ROW(INDEX(all_locations!$E$1:$E$51,MATCH(A98,all_locations!$E$1:$E$51,0))), "")</f>
        <v>35</v>
      </c>
      <c r="F98" s="5" t="str">
        <f t="shared" si="1"/>
        <v>non_refill</v>
      </c>
    </row>
    <row r="99" spans="1:6" x14ac:dyDescent="0.25">
      <c r="A99" s="11" t="s">
        <v>64</v>
      </c>
      <c r="B99" s="8" t="s">
        <v>172</v>
      </c>
      <c r="C99" s="8"/>
      <c r="D99" s="7">
        <f>_xlfn.IFNA(ROW(INDEX(all_items!$A$1:$A$57,MATCH(B99,all_items!$A$1:$A$57,0))), "")</f>
        <v>14</v>
      </c>
      <c r="E99" s="7">
        <f>_xlfn.IFNA(ROW(INDEX(all_locations!$E$1:$E$51,MATCH(A99,all_locations!$E$1:$E$51,0))), "")</f>
        <v>35</v>
      </c>
      <c r="F99" s="5" t="str">
        <f t="shared" si="1"/>
        <v>refill</v>
      </c>
    </row>
    <row r="100" spans="1:6" x14ac:dyDescent="0.25">
      <c r="A100" s="11" t="s">
        <v>64</v>
      </c>
      <c r="B100" s="8" t="s">
        <v>173</v>
      </c>
      <c r="C100" s="8"/>
      <c r="D100" s="7">
        <f>_xlfn.IFNA(ROW(INDEX(all_items!$A$1:$A$57,MATCH(B100,all_items!$A$1:$A$57,0))), "")</f>
        <v>15</v>
      </c>
      <c r="E100" s="7">
        <f>_xlfn.IFNA(ROW(INDEX(all_locations!$E$1:$E$51,MATCH(A100,all_locations!$E$1:$E$51,0))), "")</f>
        <v>35</v>
      </c>
      <c r="F100" s="5" t="str">
        <f t="shared" si="1"/>
        <v>non_refill</v>
      </c>
    </row>
    <row r="101" spans="1:6" x14ac:dyDescent="0.25">
      <c r="A101" s="11" t="s">
        <v>64</v>
      </c>
      <c r="B101" s="8" t="s">
        <v>174</v>
      </c>
      <c r="C101" s="8"/>
      <c r="D101" s="7">
        <f>_xlfn.IFNA(ROW(INDEX(all_items!$A$1:$A$57,MATCH(B101,all_items!$A$1:$A$57,0))), "")</f>
        <v>17</v>
      </c>
      <c r="E101" s="7">
        <f>_xlfn.IFNA(ROW(INDEX(all_locations!$E$1:$E$51,MATCH(A101,all_locations!$E$1:$E$51,0))), "")</f>
        <v>35</v>
      </c>
      <c r="F101" s="5" t="str">
        <f t="shared" si="1"/>
        <v>non_refill</v>
      </c>
    </row>
    <row r="102" spans="1:6" x14ac:dyDescent="0.25">
      <c r="A102" s="11" t="s">
        <v>64</v>
      </c>
      <c r="B102" s="8" t="s">
        <v>175</v>
      </c>
      <c r="C102" s="8"/>
      <c r="D102" s="7">
        <f>_xlfn.IFNA(ROW(INDEX(all_items!$A$1:$A$57,MATCH(B102,all_items!$A$1:$A$57,0))), "")</f>
        <v>18</v>
      </c>
      <c r="E102" s="7">
        <f>_xlfn.IFNA(ROW(INDEX(all_locations!$E$1:$E$51,MATCH(A102,all_locations!$E$1:$E$51,0))), "")</f>
        <v>35</v>
      </c>
      <c r="F102" s="5" t="str">
        <f t="shared" si="1"/>
        <v>refill</v>
      </c>
    </row>
    <row r="103" spans="1:6" x14ac:dyDescent="0.25">
      <c r="A103" s="11" t="s">
        <v>64</v>
      </c>
      <c r="B103" s="8" t="s">
        <v>176</v>
      </c>
      <c r="C103" s="8"/>
      <c r="D103" s="7">
        <f>_xlfn.IFNA(ROW(INDEX(all_items!$A$1:$A$57,MATCH(B103,all_items!$A$1:$A$57,0))), "")</f>
        <v>19</v>
      </c>
      <c r="E103" s="7">
        <f>_xlfn.IFNA(ROW(INDEX(all_locations!$E$1:$E$51,MATCH(A103,all_locations!$E$1:$E$51,0))), "")</f>
        <v>35</v>
      </c>
      <c r="F103" s="5" t="str">
        <f t="shared" si="1"/>
        <v>refill</v>
      </c>
    </row>
    <row r="104" spans="1:6" x14ac:dyDescent="0.25">
      <c r="A104" s="11" t="s">
        <v>64</v>
      </c>
      <c r="B104" s="8" t="s">
        <v>181</v>
      </c>
      <c r="C104" s="8"/>
      <c r="D104" s="7">
        <f>_xlfn.IFNA(ROW(INDEX(all_items!$A$1:$A$57,MATCH(B104,all_items!$A$1:$A$57,0))), "")</f>
        <v>24</v>
      </c>
      <c r="E104" s="7">
        <f>_xlfn.IFNA(ROW(INDEX(all_locations!$E$1:$E$51,MATCH(A104,all_locations!$E$1:$E$51,0))), "")</f>
        <v>35</v>
      </c>
      <c r="F104" s="5" t="str">
        <f t="shared" si="1"/>
        <v>non_refill</v>
      </c>
    </row>
    <row r="105" spans="1:6" x14ac:dyDescent="0.25">
      <c r="A105" s="11" t="s">
        <v>306</v>
      </c>
      <c r="B105" s="8" t="s">
        <v>159</v>
      </c>
      <c r="C105" s="8"/>
      <c r="D105" s="7">
        <f>_xlfn.IFNA(ROW(INDEX(all_items!$A$1:$A$57,MATCH(B105,all_items!$A$1:$A$57,0))), "")</f>
        <v>1</v>
      </c>
      <c r="E105" s="7">
        <f>_xlfn.IFNA(ROW(INDEX(all_locations!$E$1:$E$51,MATCH(A105,all_locations!$E$1:$E$51,0))), "")</f>
        <v>37</v>
      </c>
      <c r="F105" s="5" t="str">
        <f t="shared" si="1"/>
        <v>non_refill</v>
      </c>
    </row>
    <row r="106" spans="1:6" x14ac:dyDescent="0.25">
      <c r="A106" s="11" t="s">
        <v>306</v>
      </c>
      <c r="B106" s="8" t="s">
        <v>160</v>
      </c>
      <c r="C106" s="8"/>
      <c r="D106" s="7">
        <f>_xlfn.IFNA(ROW(INDEX(all_items!$A$1:$A$57,MATCH(B106,all_items!$A$1:$A$57,0))), "")</f>
        <v>2</v>
      </c>
      <c r="E106" s="7">
        <f>_xlfn.IFNA(ROW(INDEX(all_locations!$E$1:$E$51,MATCH(A106,all_locations!$E$1:$E$51,0))), "")</f>
        <v>37</v>
      </c>
      <c r="F106" s="5" t="str">
        <f t="shared" si="1"/>
        <v>non_refill</v>
      </c>
    </row>
    <row r="107" spans="1:6" x14ac:dyDescent="0.25">
      <c r="A107" s="11" t="s">
        <v>306</v>
      </c>
      <c r="B107" s="8" t="s">
        <v>167</v>
      </c>
      <c r="C107" s="8"/>
      <c r="D107" s="7">
        <f>_xlfn.IFNA(ROW(INDEX(all_items!$A$1:$A$57,MATCH(B107,all_items!$A$1:$A$57,0))), "")</f>
        <v>9</v>
      </c>
      <c r="E107" s="7">
        <f>_xlfn.IFNA(ROW(INDEX(all_locations!$E$1:$E$51,MATCH(A107,all_locations!$E$1:$E$51,0))), "")</f>
        <v>37</v>
      </c>
      <c r="F107" s="5" t="str">
        <f t="shared" si="1"/>
        <v>non_refill</v>
      </c>
    </row>
    <row r="108" spans="1:6" x14ac:dyDescent="0.25">
      <c r="A108" s="11" t="s">
        <v>306</v>
      </c>
      <c r="B108" s="8" t="s">
        <v>171</v>
      </c>
      <c r="C108" s="8"/>
      <c r="D108" s="7">
        <f>_xlfn.IFNA(ROW(INDEX(all_items!$A$1:$A$57,MATCH(B108,all_items!$A$1:$A$57,0))), "")</f>
        <v>13</v>
      </c>
      <c r="E108" s="7">
        <f>_xlfn.IFNA(ROW(INDEX(all_locations!$E$1:$E$51,MATCH(A108,all_locations!$E$1:$E$51,0))), "")</f>
        <v>37</v>
      </c>
      <c r="F108" s="5" t="str">
        <f t="shared" si="1"/>
        <v>non_refill</v>
      </c>
    </row>
    <row r="109" spans="1:6" x14ac:dyDescent="0.25">
      <c r="A109" s="11" t="s">
        <v>306</v>
      </c>
      <c r="B109" s="8" t="s">
        <v>172</v>
      </c>
      <c r="C109" s="8"/>
      <c r="D109" s="7">
        <f>_xlfn.IFNA(ROW(INDEX(all_items!$A$1:$A$57,MATCH(B109,all_items!$A$1:$A$57,0))), "")</f>
        <v>14</v>
      </c>
      <c r="E109" s="7">
        <f>_xlfn.IFNA(ROW(INDEX(all_locations!$E$1:$E$51,MATCH(A109,all_locations!$E$1:$E$51,0))), "")</f>
        <v>37</v>
      </c>
      <c r="F109" s="5" t="str">
        <f t="shared" si="1"/>
        <v>refill</v>
      </c>
    </row>
    <row r="110" spans="1:6" x14ac:dyDescent="0.25">
      <c r="A110" s="11" t="s">
        <v>306</v>
      </c>
      <c r="B110" s="8" t="s">
        <v>173</v>
      </c>
      <c r="C110" s="8"/>
      <c r="D110" s="7">
        <f>_xlfn.IFNA(ROW(INDEX(all_items!$A$1:$A$57,MATCH(B110,all_items!$A$1:$A$57,0))), "")</f>
        <v>15</v>
      </c>
      <c r="E110" s="7">
        <f>_xlfn.IFNA(ROW(INDEX(all_locations!$E$1:$E$51,MATCH(A110,all_locations!$E$1:$E$51,0))), "")</f>
        <v>37</v>
      </c>
      <c r="F110" s="5" t="str">
        <f t="shared" si="1"/>
        <v>non_refill</v>
      </c>
    </row>
    <row r="111" spans="1:6" x14ac:dyDescent="0.25">
      <c r="A111" s="11" t="s">
        <v>306</v>
      </c>
      <c r="B111" s="8" t="s">
        <v>174</v>
      </c>
      <c r="C111" s="8"/>
      <c r="D111" s="7">
        <f>_xlfn.IFNA(ROW(INDEX(all_items!$A$1:$A$57,MATCH(B111,all_items!$A$1:$A$57,0))), "")</f>
        <v>17</v>
      </c>
      <c r="E111" s="7">
        <f>_xlfn.IFNA(ROW(INDEX(all_locations!$E$1:$E$51,MATCH(A111,all_locations!$E$1:$E$51,0))), "")</f>
        <v>37</v>
      </c>
      <c r="F111" s="5" t="str">
        <f t="shared" si="1"/>
        <v>non_refill</v>
      </c>
    </row>
    <row r="112" spans="1:6" x14ac:dyDescent="0.25">
      <c r="A112" s="11" t="s">
        <v>306</v>
      </c>
      <c r="B112" s="8" t="s">
        <v>176</v>
      </c>
      <c r="C112" s="8"/>
      <c r="D112" s="7">
        <f>_xlfn.IFNA(ROW(INDEX(all_items!$A$1:$A$57,MATCH(B112,all_items!$A$1:$A$57,0))), "")</f>
        <v>19</v>
      </c>
      <c r="E112" s="7">
        <f>_xlfn.IFNA(ROW(INDEX(all_locations!$E$1:$E$51,MATCH(A112,all_locations!$E$1:$E$51,0))), "")</f>
        <v>37</v>
      </c>
      <c r="F112" s="5" t="str">
        <f t="shared" si="1"/>
        <v>refill</v>
      </c>
    </row>
    <row r="113" spans="1:6" x14ac:dyDescent="0.25">
      <c r="A113" s="11" t="s">
        <v>306</v>
      </c>
      <c r="B113" s="8" t="s">
        <v>175</v>
      </c>
      <c r="C113" s="8"/>
      <c r="D113" s="7">
        <f>_xlfn.IFNA(ROW(INDEX(all_items!$A$1:$A$57,MATCH(B113,all_items!$A$1:$A$57,0))), "")</f>
        <v>18</v>
      </c>
      <c r="E113" s="7">
        <f>_xlfn.IFNA(ROW(INDEX(all_locations!$E$1:$E$51,MATCH(A113,all_locations!$E$1:$E$51,0))), "")</f>
        <v>37</v>
      </c>
      <c r="F113" s="5" t="str">
        <f t="shared" si="1"/>
        <v>refill</v>
      </c>
    </row>
    <row r="114" spans="1:6" x14ac:dyDescent="0.25">
      <c r="A114" s="11" t="s">
        <v>306</v>
      </c>
      <c r="B114" s="8" t="s">
        <v>190</v>
      </c>
      <c r="C114" s="8"/>
      <c r="D114" s="7">
        <f>_xlfn.IFNA(ROW(INDEX(all_items!$A$1:$A$57,MATCH(B114,all_items!$A$1:$A$57,0))), "")</f>
        <v>33</v>
      </c>
      <c r="E114" s="7">
        <f>_xlfn.IFNA(ROW(INDEX(all_locations!$E$1:$E$51,MATCH(A114,all_locations!$E$1:$E$51,0))), "")</f>
        <v>37</v>
      </c>
      <c r="F114" s="5" t="str">
        <f t="shared" si="1"/>
        <v>refill</v>
      </c>
    </row>
    <row r="115" spans="1:6" x14ac:dyDescent="0.25">
      <c r="A115" s="11" t="s">
        <v>307</v>
      </c>
      <c r="B115" s="8" t="s">
        <v>159</v>
      </c>
      <c r="C115" s="8"/>
      <c r="D115" s="7">
        <f>_xlfn.IFNA(ROW(INDEX(all_items!$A$1:$A$57,MATCH(B115,all_items!$A$1:$A$57,0))), "")</f>
        <v>1</v>
      </c>
      <c r="E115" s="7">
        <f>_xlfn.IFNA(ROW(INDEX(all_locations!$E$1:$E$51,MATCH(A115,all_locations!$E$1:$E$51,0))), "")</f>
        <v>36</v>
      </c>
      <c r="F115" s="5" t="str">
        <f t="shared" si="1"/>
        <v>non_refill</v>
      </c>
    </row>
    <row r="116" spans="1:6" x14ac:dyDescent="0.25">
      <c r="A116" s="11" t="s">
        <v>307</v>
      </c>
      <c r="B116" s="8" t="s">
        <v>160</v>
      </c>
      <c r="C116" s="8"/>
      <c r="D116" s="7">
        <f>_xlfn.IFNA(ROW(INDEX(all_items!$A$1:$A$57,MATCH(B116,all_items!$A$1:$A$57,0))), "")</f>
        <v>2</v>
      </c>
      <c r="E116" s="7">
        <f>_xlfn.IFNA(ROW(INDEX(all_locations!$E$1:$E$51,MATCH(A116,all_locations!$E$1:$E$51,0))), "")</f>
        <v>36</v>
      </c>
      <c r="F116" s="5" t="str">
        <f t="shared" si="1"/>
        <v>non_refill</v>
      </c>
    </row>
    <row r="117" spans="1:6" x14ac:dyDescent="0.25">
      <c r="A117" s="11" t="s">
        <v>307</v>
      </c>
      <c r="B117" s="8" t="s">
        <v>164</v>
      </c>
      <c r="C117" s="8"/>
      <c r="D117" s="7">
        <f>_xlfn.IFNA(ROW(INDEX(all_items!$A$1:$A$57,MATCH(B117,all_items!$A$1:$A$57,0))), "")</f>
        <v>6</v>
      </c>
      <c r="E117" s="7">
        <f>_xlfn.IFNA(ROW(INDEX(all_locations!$E$1:$E$51,MATCH(A117,all_locations!$E$1:$E$51,0))), "")</f>
        <v>36</v>
      </c>
      <c r="F117" s="5" t="str">
        <f t="shared" si="1"/>
        <v>non_refill</v>
      </c>
    </row>
    <row r="118" spans="1:6" x14ac:dyDescent="0.25">
      <c r="A118" s="11" t="s">
        <v>307</v>
      </c>
      <c r="B118" s="8" t="s">
        <v>179</v>
      </c>
      <c r="C118" s="8"/>
      <c r="D118" s="7">
        <f>_xlfn.IFNA(ROW(INDEX(all_items!$A$1:$A$57,MATCH(B118,all_items!$A$1:$A$57,0))), "")</f>
        <v>22</v>
      </c>
      <c r="E118" s="7">
        <f>_xlfn.IFNA(ROW(INDEX(all_locations!$E$1:$E$51,MATCH(A118,all_locations!$E$1:$E$51,0))), "")</f>
        <v>36</v>
      </c>
      <c r="F118" s="5" t="str">
        <f t="shared" si="1"/>
        <v>non_refill</v>
      </c>
    </row>
    <row r="119" spans="1:6" x14ac:dyDescent="0.25">
      <c r="A119" s="11" t="s">
        <v>68</v>
      </c>
      <c r="B119" s="8" t="s">
        <v>163</v>
      </c>
      <c r="C119" s="8"/>
      <c r="D119" s="7">
        <f>_xlfn.IFNA(ROW(INDEX(all_items!$A$1:$A$57,MATCH(B119,all_items!$A$1:$A$57,0))), "")</f>
        <v>5</v>
      </c>
      <c r="E119" s="7">
        <f>_xlfn.IFNA(ROW(INDEX(all_locations!$E$1:$E$51,MATCH(A119,all_locations!$E$1:$E$51,0))), "")</f>
        <v>38</v>
      </c>
      <c r="F119" s="5" t="str">
        <f t="shared" si="1"/>
        <v>non_refill</v>
      </c>
    </row>
    <row r="120" spans="1:6" x14ac:dyDescent="0.25">
      <c r="A120" s="11" t="s">
        <v>68</v>
      </c>
      <c r="B120" s="8" t="s">
        <v>167</v>
      </c>
      <c r="C120" s="9"/>
      <c r="D120" s="7">
        <f>_xlfn.IFNA(ROW(INDEX(all_items!$A$1:$A$57,MATCH(B120,all_items!$A$1:$A$57,0))), "")</f>
        <v>9</v>
      </c>
      <c r="E120" s="7">
        <f>_xlfn.IFNA(ROW(INDEX(all_locations!$E$1:$E$51,MATCH(A120,all_locations!$E$1:$E$51,0))), "")</f>
        <v>38</v>
      </c>
      <c r="F120" s="5" t="str">
        <f t="shared" si="1"/>
        <v>non_refill</v>
      </c>
    </row>
    <row r="121" spans="1:6" x14ac:dyDescent="0.25">
      <c r="A121" s="11" t="s">
        <v>68</v>
      </c>
      <c r="B121" s="10" t="s">
        <v>191</v>
      </c>
      <c r="C121" s="8"/>
      <c r="D121" s="7">
        <f>_xlfn.IFNA(ROW(INDEX(all_items!$A$1:$A$57,MATCH(B121,all_items!$A$1:$A$57,0))), "")</f>
        <v>34</v>
      </c>
      <c r="E121" s="7">
        <f>_xlfn.IFNA(ROW(INDEX(all_locations!$E$1:$E$51,MATCH(A121,all_locations!$E$1:$E$51,0))), "")</f>
        <v>38</v>
      </c>
      <c r="F121" s="5" t="str">
        <f t="shared" si="1"/>
        <v>non_refill</v>
      </c>
    </row>
    <row r="122" spans="1:6" x14ac:dyDescent="0.25">
      <c r="A122" s="11" t="s">
        <v>68</v>
      </c>
      <c r="B122" s="8" t="s">
        <v>192</v>
      </c>
      <c r="C122" s="8"/>
      <c r="D122" s="7">
        <f>_xlfn.IFNA(ROW(INDEX(all_items!$A$1:$A$57,MATCH(B122,all_items!$A$1:$A$57,0))), "")</f>
        <v>35</v>
      </c>
      <c r="E122" s="7">
        <f>_xlfn.IFNA(ROW(INDEX(all_locations!$E$1:$E$51,MATCH(A122,all_locations!$E$1:$E$51,0))), "")</f>
        <v>38</v>
      </c>
      <c r="F122" s="5" t="str">
        <f t="shared" si="1"/>
        <v>non_refill</v>
      </c>
    </row>
    <row r="123" spans="1:6" x14ac:dyDescent="0.25">
      <c r="A123" s="11" t="s">
        <v>68</v>
      </c>
      <c r="B123" s="8" t="s">
        <v>193</v>
      </c>
      <c r="C123" s="8"/>
      <c r="D123" s="7">
        <f>_xlfn.IFNA(ROW(INDEX(all_items!$A$1:$A$57,MATCH(B123,all_items!$A$1:$A$57,0))), "")</f>
        <v>36</v>
      </c>
      <c r="E123" s="7">
        <f>_xlfn.IFNA(ROW(INDEX(all_locations!$E$1:$E$51,MATCH(A123,all_locations!$E$1:$E$51,0))), "")</f>
        <v>38</v>
      </c>
      <c r="F123" s="5" t="str">
        <f t="shared" si="1"/>
        <v>non_refill</v>
      </c>
    </row>
    <row r="124" spans="1:6" x14ac:dyDescent="0.25">
      <c r="A124" s="11" t="s">
        <v>68</v>
      </c>
      <c r="B124" s="8" t="s">
        <v>194</v>
      </c>
      <c r="C124" s="8"/>
      <c r="D124" s="7">
        <f>_xlfn.IFNA(ROW(INDEX(all_items!$A$1:$A$57,MATCH(B124,all_items!$A$1:$A$57,0))), "")</f>
        <v>37</v>
      </c>
      <c r="E124" s="7">
        <f>_xlfn.IFNA(ROW(INDEX(all_locations!$E$1:$E$51,MATCH(A124,all_locations!$E$1:$E$51,0))), "")</f>
        <v>38</v>
      </c>
      <c r="F124" s="5" t="str">
        <f t="shared" si="1"/>
        <v>non_refill</v>
      </c>
    </row>
    <row r="125" spans="1:6" x14ac:dyDescent="0.25">
      <c r="A125" s="11" t="s">
        <v>68</v>
      </c>
      <c r="B125" s="8" t="s">
        <v>195</v>
      </c>
      <c r="C125" s="8"/>
      <c r="D125" s="7">
        <f>_xlfn.IFNA(ROW(INDEX(all_items!$A$1:$A$57,MATCH(B125,all_items!$A$1:$A$57,0))), "")</f>
        <v>38</v>
      </c>
      <c r="E125" s="7">
        <f>_xlfn.IFNA(ROW(INDEX(all_locations!$E$1:$E$51,MATCH(A125,all_locations!$E$1:$E$51,0))), "")</f>
        <v>38</v>
      </c>
      <c r="F125" s="5" t="str">
        <f t="shared" si="1"/>
        <v>non_refill</v>
      </c>
    </row>
    <row r="126" spans="1:6" x14ac:dyDescent="0.25">
      <c r="A126" s="11" t="s">
        <v>68</v>
      </c>
      <c r="B126" s="13" t="s">
        <v>196</v>
      </c>
      <c r="C126" s="8"/>
      <c r="D126" s="7">
        <f>_xlfn.IFNA(ROW(INDEX(all_items!$A$1:$A$57,MATCH(B126,all_items!$A$1:$A$57,0))), "")</f>
        <v>39</v>
      </c>
      <c r="E126" s="7">
        <f>_xlfn.IFNA(ROW(INDEX(all_locations!$E$1:$E$51,MATCH(A126,all_locations!$E$1:$E$51,0))), "")</f>
        <v>38</v>
      </c>
      <c r="F126" s="5" t="str">
        <f t="shared" si="1"/>
        <v>non_refill</v>
      </c>
    </row>
    <row r="127" spans="1:6" x14ac:dyDescent="0.25">
      <c r="A127" s="11" t="s">
        <v>68</v>
      </c>
      <c r="B127" s="8" t="s">
        <v>197</v>
      </c>
      <c r="C127" s="8"/>
      <c r="D127" s="7">
        <f>_xlfn.IFNA(ROW(INDEX(all_items!$A$1:$A$57,MATCH(B127,all_items!$A$1:$A$57,0))), "")</f>
        <v>40</v>
      </c>
      <c r="E127" s="7">
        <f>_xlfn.IFNA(ROW(INDEX(all_locations!$E$1:$E$51,MATCH(A127,all_locations!$E$1:$E$51,0))), "")</f>
        <v>38</v>
      </c>
      <c r="F127" s="5" t="str">
        <f t="shared" si="1"/>
        <v>non_refill</v>
      </c>
    </row>
    <row r="128" spans="1:6" x14ac:dyDescent="0.25">
      <c r="A128" s="11" t="s">
        <v>68</v>
      </c>
      <c r="B128" s="8" t="s">
        <v>198</v>
      </c>
      <c r="C128" s="8"/>
      <c r="D128" s="7">
        <f>_xlfn.IFNA(ROW(INDEX(all_items!$A$1:$A$57,MATCH(B128,all_items!$A$1:$A$57,0))), "")</f>
        <v>41</v>
      </c>
      <c r="E128" s="7">
        <f>_xlfn.IFNA(ROW(INDEX(all_locations!$E$1:$E$51,MATCH(A128,all_locations!$E$1:$E$51,0))), "")</f>
        <v>38</v>
      </c>
      <c r="F128" s="5" t="str">
        <f t="shared" si="1"/>
        <v>non_refill</v>
      </c>
    </row>
    <row r="129" spans="1:6" x14ac:dyDescent="0.25">
      <c r="A129" s="8" t="s">
        <v>311</v>
      </c>
      <c r="B129" s="8" t="s">
        <v>199</v>
      </c>
      <c r="C129" s="8"/>
      <c r="D129" s="7">
        <f>_xlfn.IFNA(ROW(INDEX(all_items!$A$1:$A$57,MATCH(B129,all_items!$A$1:$A$57,0))), "")</f>
        <v>42</v>
      </c>
      <c r="E129" s="7">
        <f>_xlfn.IFNA(ROW(INDEX(all_locations!$E$1:$E$51,MATCH(A129,all_locations!$E$1:$E$51,0))), "")</f>
        <v>39</v>
      </c>
      <c r="F129" s="5" t="str">
        <f t="shared" si="1"/>
        <v>non_refill</v>
      </c>
    </row>
    <row r="130" spans="1:6" x14ac:dyDescent="0.25">
      <c r="A130" s="8" t="s">
        <v>311</v>
      </c>
      <c r="B130" s="8" t="s">
        <v>200</v>
      </c>
      <c r="C130" s="28"/>
      <c r="D130" s="7">
        <f>_xlfn.IFNA(ROW(INDEX(all_items!$A$1:$A$57,MATCH(B130,all_items!$A$1:$A$57,0))), "")</f>
        <v>43</v>
      </c>
      <c r="E130" s="7">
        <f>_xlfn.IFNA(ROW(INDEX(all_locations!$E$1:$E$51,MATCH(A130,all_locations!$E$1:$E$51,0))), "")</f>
        <v>39</v>
      </c>
      <c r="F130" s="5" t="str">
        <f t="shared" si="1"/>
        <v>non_refill</v>
      </c>
    </row>
    <row r="131" spans="1:6" x14ac:dyDescent="0.25">
      <c r="A131" s="8" t="s">
        <v>311</v>
      </c>
      <c r="B131" s="8" t="s">
        <v>201</v>
      </c>
      <c r="C131" s="28"/>
      <c r="D131" s="7">
        <f>_xlfn.IFNA(ROW(INDEX(all_items!$A$1:$A$57,MATCH(B131,all_items!$A$1:$A$57,0))), "")</f>
        <v>44</v>
      </c>
      <c r="E131" s="7">
        <f>_xlfn.IFNA(ROW(INDEX(all_locations!$E$1:$E$51,MATCH(A131,all_locations!$E$1:$E$51,0))), "")</f>
        <v>39</v>
      </c>
      <c r="F131" s="5" t="str">
        <f t="shared" ref="F131:F135" si="2">IF(OR(B131="sabun_cuci_tangan",B131="tisu",B131="pengharum_ruangan",B131="kamper"),"refill","non_refill")</f>
        <v>non_refill</v>
      </c>
    </row>
    <row r="132" spans="1:6" x14ac:dyDescent="0.25">
      <c r="A132" s="8" t="s">
        <v>311</v>
      </c>
      <c r="B132" s="8" t="s">
        <v>202</v>
      </c>
      <c r="C132" s="28"/>
      <c r="D132" s="7">
        <f>_xlfn.IFNA(ROW(INDEX(all_items!$A$1:$A$57,MATCH(B132,all_items!$A$1:$A$57,0))), "")</f>
        <v>45</v>
      </c>
      <c r="E132" s="7">
        <f>_xlfn.IFNA(ROW(INDEX(all_locations!$E$1:$E$51,MATCH(A132,all_locations!$E$1:$E$51,0))), "")</f>
        <v>39</v>
      </c>
      <c r="F132" s="5" t="str">
        <f t="shared" si="2"/>
        <v>non_refill</v>
      </c>
    </row>
    <row r="133" spans="1:6" x14ac:dyDescent="0.25">
      <c r="A133" s="8" t="s">
        <v>311</v>
      </c>
      <c r="B133" s="8" t="s">
        <v>203</v>
      </c>
      <c r="C133" s="28"/>
      <c r="D133" s="7">
        <f>_xlfn.IFNA(ROW(INDEX(all_items!$A$1:$A$57,MATCH(B133,all_items!$A$1:$A$57,0))), "")</f>
        <v>46</v>
      </c>
      <c r="E133" s="7">
        <f>_xlfn.IFNA(ROW(INDEX(all_locations!$E$1:$E$51,MATCH(A133,all_locations!$E$1:$E$51,0))), "")</f>
        <v>39</v>
      </c>
      <c r="F133" s="5" t="str">
        <f t="shared" si="2"/>
        <v>non_refill</v>
      </c>
    </row>
    <row r="134" spans="1:6" x14ac:dyDescent="0.25">
      <c r="A134" s="8" t="s">
        <v>311</v>
      </c>
      <c r="B134" s="8" t="s">
        <v>204</v>
      </c>
      <c r="C134" s="28"/>
      <c r="D134" s="7">
        <f>_xlfn.IFNA(ROW(INDEX(all_items!$A$1:$A$57,MATCH(B134,all_items!$A$1:$A$57,0))), "")</f>
        <v>47</v>
      </c>
      <c r="E134" s="7">
        <f>_xlfn.IFNA(ROW(INDEX(all_locations!$E$1:$E$51,MATCH(A134,all_locations!$E$1:$E$51,0))), "")</f>
        <v>39</v>
      </c>
      <c r="F134" s="5" t="str">
        <f t="shared" si="2"/>
        <v>non_refill</v>
      </c>
    </row>
    <row r="135" spans="1:6" x14ac:dyDescent="0.25">
      <c r="A135" s="8" t="s">
        <v>311</v>
      </c>
      <c r="B135" s="8" t="s">
        <v>205</v>
      </c>
      <c r="C135" s="28"/>
      <c r="D135" s="7">
        <f>_xlfn.IFNA(ROW(INDEX(all_items!$A$1:$A$57,MATCH(B135,all_items!$A$1:$A$57,0))), "")</f>
        <v>48</v>
      </c>
      <c r="E135" s="7">
        <f>_xlfn.IFNA(ROW(INDEX(all_locations!$E$1:$E$51,MATCH(A135,all_locations!$E$1:$E$51,0))), "")</f>
        <v>39</v>
      </c>
      <c r="F135" s="5" t="str">
        <f t="shared" si="2"/>
        <v>non_refill</v>
      </c>
    </row>
    <row r="136" spans="1:6" x14ac:dyDescent="0.25">
      <c r="A136" s="11" t="s">
        <v>10</v>
      </c>
      <c r="B136" s="8" t="s">
        <v>159</v>
      </c>
      <c r="C136" s="8"/>
      <c r="D136" s="7">
        <f>_xlfn.IFNA(ROW(INDEX(all_items!$A$1:$A$57,MATCH(B136,all_items!$A$1:$A$57,0))), "")</f>
        <v>1</v>
      </c>
      <c r="E136" s="7">
        <f>_xlfn.IFNA(ROW(INDEX(all_locations!$E$1:$E$51,MATCH(A136,all_locations!$E$1:$E$51,0))), "")</f>
        <v>40</v>
      </c>
      <c r="F136" s="5" t="str">
        <f>IF(OR(B136="sabun_cuci_tangan",B136="tisu",B136="pengharum_ruangan",B136="kamper"),"refill","non_refill")</f>
        <v>non_refill</v>
      </c>
    </row>
    <row r="137" spans="1:6" x14ac:dyDescent="0.25">
      <c r="A137" s="8" t="s">
        <v>10</v>
      </c>
      <c r="B137" s="8" t="s">
        <v>160</v>
      </c>
      <c r="C137" s="8"/>
      <c r="D137" s="7">
        <f>_xlfn.IFNA(ROW(INDEX(all_items!$A$1:$A$57,MATCH(B137,all_items!$A$1:$A$57,0))), "")</f>
        <v>2</v>
      </c>
      <c r="E137" s="7">
        <f>_xlfn.IFNA(ROW(INDEX(all_locations!$E$1:$E$51,MATCH(A137,all_locations!$E$1:$E$51,0))), "")</f>
        <v>40</v>
      </c>
      <c r="F137" s="5" t="str">
        <f t="shared" ref="F137:F141" si="3">IF(OR(B137="sabun_cuci_tangan",B137="tisu",B137="pengharum_ruangan",B137="kamper"),"refill","non_refill")</f>
        <v>non_refill</v>
      </c>
    </row>
    <row r="138" spans="1:6" x14ac:dyDescent="0.25">
      <c r="A138" s="8" t="s">
        <v>10</v>
      </c>
      <c r="B138" s="8" t="s">
        <v>163</v>
      </c>
      <c r="C138" s="8"/>
      <c r="D138" s="7">
        <f>_xlfn.IFNA(ROW(INDEX(all_items!$A$1:$A$57,MATCH(B138,all_items!$A$1:$A$57,0))), "")</f>
        <v>5</v>
      </c>
      <c r="E138" s="7">
        <f>_xlfn.IFNA(ROW(INDEX(all_locations!$E$1:$E$51,MATCH(A138,all_locations!$E$1:$E$51,0))), "")</f>
        <v>40</v>
      </c>
      <c r="F138" s="5" t="str">
        <f t="shared" si="3"/>
        <v>non_refill</v>
      </c>
    </row>
    <row r="139" spans="1:6" x14ac:dyDescent="0.25">
      <c r="A139" s="8" t="s">
        <v>10</v>
      </c>
      <c r="B139" s="8" t="s">
        <v>206</v>
      </c>
      <c r="C139" s="8"/>
      <c r="D139" s="7">
        <f>_xlfn.IFNA(ROW(INDEX(all_items!$A$1:$A$57,MATCH(B139,all_items!$A$1:$A$57,0))), "")</f>
        <v>49</v>
      </c>
      <c r="E139" s="7">
        <f>_xlfn.IFNA(ROW(INDEX(all_locations!$E$1:$E$51,MATCH(A139,all_locations!$E$1:$E$51,0))), "")</f>
        <v>40</v>
      </c>
      <c r="F139" s="5" t="str">
        <f t="shared" si="3"/>
        <v>non_refill</v>
      </c>
    </row>
    <row r="140" spans="1:6" x14ac:dyDescent="0.25">
      <c r="A140" s="8" t="s">
        <v>10</v>
      </c>
      <c r="B140" s="8" t="s">
        <v>207</v>
      </c>
      <c r="C140" s="8"/>
      <c r="D140" s="7">
        <f>_xlfn.IFNA(ROW(INDEX(all_items!$A$1:$A$57,MATCH(B140,all_items!$A$1:$A$57,0))), "")</f>
        <v>50</v>
      </c>
      <c r="E140" s="7">
        <f>_xlfn.IFNA(ROW(INDEX(all_locations!$E$1:$E$51,MATCH(A140,all_locations!$E$1:$E$51,0))), "")</f>
        <v>40</v>
      </c>
      <c r="F140" s="5" t="str">
        <f t="shared" si="3"/>
        <v>non_refill</v>
      </c>
    </row>
    <row r="141" spans="1:6" x14ac:dyDescent="0.25">
      <c r="A141" s="8" t="s">
        <v>10</v>
      </c>
      <c r="B141" s="8" t="s">
        <v>208</v>
      </c>
      <c r="C141" s="8"/>
      <c r="D141" s="7">
        <f>_xlfn.IFNA(ROW(INDEX(all_items!$A$1:$A$57,MATCH(B141,all_items!$A$1:$A$57,0))), "")</f>
        <v>51</v>
      </c>
      <c r="E141" s="7">
        <f>_xlfn.IFNA(ROW(INDEX(all_locations!$E$1:$E$51,MATCH(A141,all_locations!$E$1:$E$51,0))), "")</f>
        <v>40</v>
      </c>
      <c r="F141" s="5" t="str">
        <f t="shared" si="3"/>
        <v>non_refill</v>
      </c>
    </row>
  </sheetData>
  <sortState xmlns:xlrd2="http://schemas.microsoft.com/office/spreadsheetml/2017/richdata2" ref="A2:E135">
    <sortCondition ref="E1:E13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82"/>
  <sheetViews>
    <sheetView zoomScaleNormal="100" workbookViewId="0">
      <selection activeCell="F2" sqref="F2"/>
    </sheetView>
  </sheetViews>
  <sheetFormatPr defaultRowHeight="15" x14ac:dyDescent="0.25"/>
  <cols>
    <col min="1" max="1" width="43" style="10" bestFit="1" customWidth="1"/>
    <col min="2" max="2" width="33.85546875" style="10" bestFit="1" customWidth="1"/>
    <col min="3" max="3" width="8.140625" style="10" hidden="1" customWidth="1"/>
    <col min="4" max="4" width="8.7109375" style="7" bestFit="1" customWidth="1"/>
    <col min="5" max="5" width="12.42578125" style="7" bestFit="1" customWidth="1"/>
    <col min="6" max="6" width="15.28515625" bestFit="1" customWidth="1"/>
  </cols>
  <sheetData>
    <row r="1" spans="1:6" s="21" customFormat="1" ht="15.75" x14ac:dyDescent="0.25">
      <c r="A1" s="20" t="s">
        <v>16</v>
      </c>
      <c r="B1" s="20" t="s">
        <v>74</v>
      </c>
      <c r="C1" s="20" t="s">
        <v>75</v>
      </c>
      <c r="D1" s="23" t="s">
        <v>77</v>
      </c>
      <c r="E1" s="23" t="s">
        <v>76</v>
      </c>
      <c r="F1" s="22" t="s">
        <v>310</v>
      </c>
    </row>
    <row r="2" spans="1:6" x14ac:dyDescent="0.25">
      <c r="A2" s="8" t="s">
        <v>33</v>
      </c>
      <c r="B2" s="8" t="s">
        <v>159</v>
      </c>
      <c r="C2" s="8"/>
      <c r="D2" s="7">
        <f>_xlfn.IFNA(ROW(INDEX(all_items!$A$1:$A$57,MATCH(B2,all_items!$A$1:$A$57,0))), "")</f>
        <v>1</v>
      </c>
      <c r="E2" s="7">
        <f>_xlfn.IFNA(ROW(INDEX(all_locations!$E$1:$E$51,MATCH(A2,all_locations!$E$1:$E$51,0))), "")</f>
        <v>41</v>
      </c>
      <c r="F2" t="str">
        <f t="shared" ref="F2:F33" si="0">IF(OR(B2="sabun_cuci_tangan",B2="tisu",B2="pengharum_ruangan",B2="kamper"),"refill","non_refill")</f>
        <v>non_refill</v>
      </c>
    </row>
    <row r="3" spans="1:6" x14ac:dyDescent="0.25">
      <c r="A3" s="8" t="s">
        <v>33</v>
      </c>
      <c r="B3" s="8" t="s">
        <v>160</v>
      </c>
      <c r="C3" s="8"/>
      <c r="D3" s="7">
        <f>_xlfn.IFNA(ROW(INDEX(all_items!$A$1:$A$57,MATCH(B3,all_items!$A$1:$A$57,0))), "")</f>
        <v>2</v>
      </c>
      <c r="E3" s="7">
        <f>_xlfn.IFNA(ROW(INDEX(all_locations!$E$1:$E$51,MATCH(A3,all_locations!$E$1:$E$51,0))), "")</f>
        <v>41</v>
      </c>
      <c r="F3" t="str">
        <f t="shared" si="0"/>
        <v>non_refill</v>
      </c>
    </row>
    <row r="4" spans="1:6" x14ac:dyDescent="0.25">
      <c r="A4" s="8" t="s">
        <v>33</v>
      </c>
      <c r="B4" s="8" t="s">
        <v>164</v>
      </c>
      <c r="C4" s="8"/>
      <c r="D4" s="7">
        <f>_xlfn.IFNA(ROW(INDEX(all_items!$A$1:$A$57,MATCH(B4,all_items!$A$1:$A$57,0))), "")</f>
        <v>6</v>
      </c>
      <c r="E4" s="7">
        <f>_xlfn.IFNA(ROW(INDEX(all_locations!$E$1:$E$51,MATCH(A4,all_locations!$E$1:$E$51,0))), "")</f>
        <v>41</v>
      </c>
      <c r="F4" t="str">
        <f t="shared" si="0"/>
        <v>non_refill</v>
      </c>
    </row>
    <row r="5" spans="1:6" x14ac:dyDescent="0.25">
      <c r="A5" s="8" t="s">
        <v>33</v>
      </c>
      <c r="B5" s="8" t="s">
        <v>165</v>
      </c>
      <c r="C5" s="8"/>
      <c r="D5" s="7">
        <f>_xlfn.IFNA(ROW(INDEX(all_items!$A$1:$A$57,MATCH(B5,all_items!$A$1:$A$57,0))), "")</f>
        <v>7</v>
      </c>
      <c r="E5" s="7">
        <f>_xlfn.IFNA(ROW(INDEX(all_locations!$E$1:$E$51,MATCH(A5,all_locations!$E$1:$E$51,0))), "")</f>
        <v>41</v>
      </c>
      <c r="F5" t="str">
        <f t="shared" si="0"/>
        <v>non_refill</v>
      </c>
    </row>
    <row r="6" spans="1:6" x14ac:dyDescent="0.25">
      <c r="A6" s="8" t="s">
        <v>33</v>
      </c>
      <c r="B6" s="8" t="s">
        <v>167</v>
      </c>
      <c r="C6" s="8"/>
      <c r="D6" s="7">
        <f>_xlfn.IFNA(ROW(INDEX(all_items!$A$1:$A$57,MATCH(B6,all_items!$A$1:$A$57,0))), "")</f>
        <v>9</v>
      </c>
      <c r="E6" s="7">
        <f>_xlfn.IFNA(ROW(INDEX(all_locations!$E$1:$E$51,MATCH(A6,all_locations!$E$1:$E$51,0))), "")</f>
        <v>41</v>
      </c>
      <c r="F6" t="str">
        <f t="shared" si="0"/>
        <v>non_refill</v>
      </c>
    </row>
    <row r="7" spans="1:6" x14ac:dyDescent="0.25">
      <c r="A7" s="8" t="s">
        <v>33</v>
      </c>
      <c r="B7" s="8" t="s">
        <v>168</v>
      </c>
      <c r="C7" s="8"/>
      <c r="D7" s="7">
        <f>_xlfn.IFNA(ROW(INDEX(all_items!$A$1:$A$57,MATCH(B7,all_items!$A$1:$A$57,0))), "")</f>
        <v>10</v>
      </c>
      <c r="E7" s="7">
        <f>_xlfn.IFNA(ROW(INDEX(all_locations!$E$1:$E$51,MATCH(A7,all_locations!$E$1:$E$51,0))), "")</f>
        <v>41</v>
      </c>
      <c r="F7" t="str">
        <f t="shared" si="0"/>
        <v>non_refill</v>
      </c>
    </row>
    <row r="8" spans="1:6" x14ac:dyDescent="0.25">
      <c r="A8" s="8" t="s">
        <v>33</v>
      </c>
      <c r="B8" s="8" t="s">
        <v>171</v>
      </c>
      <c r="C8" s="8"/>
      <c r="D8" s="7">
        <f>_xlfn.IFNA(ROW(INDEX(all_items!$A$1:$A$57,MATCH(B8,all_items!$A$1:$A$57,0))), "")</f>
        <v>13</v>
      </c>
      <c r="E8" s="7">
        <f>_xlfn.IFNA(ROW(INDEX(all_locations!$E$1:$E$51,MATCH(A8,all_locations!$E$1:$E$51,0))), "")</f>
        <v>41</v>
      </c>
      <c r="F8" t="str">
        <f t="shared" si="0"/>
        <v>non_refill</v>
      </c>
    </row>
    <row r="9" spans="1:6" x14ac:dyDescent="0.25">
      <c r="A9" s="8" t="s">
        <v>33</v>
      </c>
      <c r="B9" s="8" t="s">
        <v>172</v>
      </c>
      <c r="C9" s="8"/>
      <c r="D9" s="7">
        <f>_xlfn.IFNA(ROW(INDEX(all_items!$A$1:$A$57,MATCH(B9,all_items!$A$1:$A$57,0))), "")</f>
        <v>14</v>
      </c>
      <c r="E9" s="7">
        <f>_xlfn.IFNA(ROW(INDEX(all_locations!$E$1:$E$51,MATCH(A9,all_locations!$E$1:$E$51,0))), "")</f>
        <v>41</v>
      </c>
      <c r="F9" t="str">
        <f t="shared" si="0"/>
        <v>refill</v>
      </c>
    </row>
    <row r="10" spans="1:6" x14ac:dyDescent="0.25">
      <c r="A10" s="8" t="s">
        <v>33</v>
      </c>
      <c r="B10" s="8" t="s">
        <v>186</v>
      </c>
      <c r="C10" s="8"/>
      <c r="D10" s="7">
        <f>_xlfn.IFNA(ROW(INDEX(all_items!$A$1:$A$57,MATCH(B10,all_items!$A$1:$A$57,0))), "")</f>
        <v>29</v>
      </c>
      <c r="E10" s="7">
        <f>_xlfn.IFNA(ROW(INDEX(all_locations!$E$1:$E$51,MATCH(A10,all_locations!$E$1:$E$51,0))), "")</f>
        <v>41</v>
      </c>
      <c r="F10" t="str">
        <f t="shared" si="0"/>
        <v>non_refill</v>
      </c>
    </row>
    <row r="11" spans="1:6" x14ac:dyDescent="0.25">
      <c r="A11" s="8" t="s">
        <v>33</v>
      </c>
      <c r="B11" s="8" t="s">
        <v>209</v>
      </c>
      <c r="C11" s="8"/>
      <c r="D11" s="7">
        <f>_xlfn.IFNA(ROW(INDEX(all_items!$A$1:$A$57,MATCH(B11,all_items!$A$1:$A$57,0))), "")</f>
        <v>52</v>
      </c>
      <c r="E11" s="7">
        <f>_xlfn.IFNA(ROW(INDEX(all_locations!$E$1:$E$51,MATCH(A11,all_locations!$E$1:$E$51,0))), "")</f>
        <v>41</v>
      </c>
      <c r="F11" t="str">
        <f t="shared" si="0"/>
        <v>non_refill</v>
      </c>
    </row>
    <row r="12" spans="1:6" x14ac:dyDescent="0.25">
      <c r="A12" s="8" t="s">
        <v>33</v>
      </c>
      <c r="B12" s="8" t="s">
        <v>210</v>
      </c>
      <c r="C12" s="8"/>
      <c r="D12" s="7">
        <f>_xlfn.IFNA(ROW(INDEX(all_items!$A$1:$A$57,MATCH(B12,all_items!$A$1:$A$57,0))), "")</f>
        <v>53</v>
      </c>
      <c r="E12" s="7">
        <f>_xlfn.IFNA(ROW(INDEX(all_locations!$E$1:$E$51,MATCH(A12,all_locations!$E$1:$E$51,0))), "")</f>
        <v>41</v>
      </c>
      <c r="F12" t="str">
        <f t="shared" si="0"/>
        <v>non_refill</v>
      </c>
    </row>
    <row r="13" spans="1:6" x14ac:dyDescent="0.25">
      <c r="A13" s="8" t="s">
        <v>35</v>
      </c>
      <c r="B13" s="8" t="s">
        <v>159</v>
      </c>
      <c r="C13" s="8"/>
      <c r="D13" s="7">
        <f>_xlfn.IFNA(ROW(INDEX(all_items!$A$1:$A$57,MATCH(B13,all_items!$A$1:$A$57,0))), "")</f>
        <v>1</v>
      </c>
      <c r="E13" s="7">
        <f>_xlfn.IFNA(ROW(INDEX(all_locations!$E$1:$E$51,MATCH(A13,all_locations!$E$1:$E$51,0))), "")</f>
        <v>42</v>
      </c>
      <c r="F13" t="str">
        <f t="shared" si="0"/>
        <v>non_refill</v>
      </c>
    </row>
    <row r="14" spans="1:6" x14ac:dyDescent="0.25">
      <c r="A14" s="8" t="s">
        <v>35</v>
      </c>
      <c r="B14" s="8" t="s">
        <v>160</v>
      </c>
      <c r="C14" s="8"/>
      <c r="D14" s="7">
        <f>_xlfn.IFNA(ROW(INDEX(all_items!$A$1:$A$57,MATCH(B14,all_items!$A$1:$A$57,0))), "")</f>
        <v>2</v>
      </c>
      <c r="E14" s="7">
        <f>_xlfn.IFNA(ROW(INDEX(all_locations!$E$1:$E$51,MATCH(A14,all_locations!$E$1:$E$51,0))), "")</f>
        <v>42</v>
      </c>
      <c r="F14" t="str">
        <f t="shared" si="0"/>
        <v>non_refill</v>
      </c>
    </row>
    <row r="15" spans="1:6" x14ac:dyDescent="0.25">
      <c r="A15" s="8" t="s">
        <v>35</v>
      </c>
      <c r="B15" s="8" t="s">
        <v>164</v>
      </c>
      <c r="C15" s="8"/>
      <c r="D15" s="7">
        <f>_xlfn.IFNA(ROW(INDEX(all_items!$A$1:$A$57,MATCH(B15,all_items!$A$1:$A$57,0))), "")</f>
        <v>6</v>
      </c>
      <c r="E15" s="7">
        <f>_xlfn.IFNA(ROW(INDEX(all_locations!$E$1:$E$51,MATCH(A15,all_locations!$E$1:$E$51,0))), "")</f>
        <v>42</v>
      </c>
      <c r="F15" t="str">
        <f t="shared" si="0"/>
        <v>non_refill</v>
      </c>
    </row>
    <row r="16" spans="1:6" x14ac:dyDescent="0.25">
      <c r="A16" s="8" t="s">
        <v>35</v>
      </c>
      <c r="B16" s="8" t="s">
        <v>165</v>
      </c>
      <c r="C16" s="8"/>
      <c r="D16" s="7">
        <f>_xlfn.IFNA(ROW(INDEX(all_items!$A$1:$A$57,MATCH(B16,all_items!$A$1:$A$57,0))), "")</f>
        <v>7</v>
      </c>
      <c r="E16" s="7">
        <f>_xlfn.IFNA(ROW(INDEX(all_locations!$E$1:$E$51,MATCH(A16,all_locations!$E$1:$E$51,0))), "")</f>
        <v>42</v>
      </c>
      <c r="F16" t="str">
        <f t="shared" si="0"/>
        <v>non_refill</v>
      </c>
    </row>
    <row r="17" spans="1:6" x14ac:dyDescent="0.25">
      <c r="A17" s="8" t="s">
        <v>35</v>
      </c>
      <c r="B17" s="8" t="s">
        <v>166</v>
      </c>
      <c r="C17" s="8"/>
      <c r="D17" s="7">
        <f>_xlfn.IFNA(ROW(INDEX(all_items!$A$1:$A$57,MATCH(B17,all_items!$A$1:$A$57,0))), "")</f>
        <v>8</v>
      </c>
      <c r="E17" s="7">
        <f>_xlfn.IFNA(ROW(INDEX(all_locations!$E$1:$E$51,MATCH(A17,all_locations!$E$1:$E$51,0))), "")</f>
        <v>42</v>
      </c>
      <c r="F17" t="str">
        <f t="shared" si="0"/>
        <v>non_refill</v>
      </c>
    </row>
    <row r="18" spans="1:6" x14ac:dyDescent="0.25">
      <c r="A18" s="8" t="s">
        <v>35</v>
      </c>
      <c r="B18" s="8" t="s">
        <v>168</v>
      </c>
      <c r="C18" s="8"/>
      <c r="D18" s="7">
        <f>_xlfn.IFNA(ROW(INDEX(all_items!$A$1:$A$57,MATCH(B18,all_items!$A$1:$A$57,0))), "")</f>
        <v>10</v>
      </c>
      <c r="E18" s="7">
        <f>_xlfn.IFNA(ROW(INDEX(all_locations!$E$1:$E$51,MATCH(A18,all_locations!$E$1:$E$51,0))), "")</f>
        <v>42</v>
      </c>
      <c r="F18" t="str">
        <f t="shared" si="0"/>
        <v>non_refill</v>
      </c>
    </row>
    <row r="19" spans="1:6" x14ac:dyDescent="0.25">
      <c r="A19" s="8" t="s">
        <v>35</v>
      </c>
      <c r="B19" s="8" t="s">
        <v>184</v>
      </c>
      <c r="C19" s="8"/>
      <c r="D19" s="7">
        <f>_xlfn.IFNA(ROW(INDEX(all_items!$A$1:$A$57,MATCH(B19,all_items!$A$1:$A$57,0))), "")</f>
        <v>27</v>
      </c>
      <c r="E19" s="7">
        <f>_xlfn.IFNA(ROW(INDEX(all_locations!$E$1:$E$51,MATCH(A19,all_locations!$E$1:$E$51,0))), "")</f>
        <v>42</v>
      </c>
      <c r="F19" t="str">
        <f t="shared" si="0"/>
        <v>non_refill</v>
      </c>
    </row>
    <row r="20" spans="1:6" x14ac:dyDescent="0.25">
      <c r="A20" s="8" t="s">
        <v>35</v>
      </c>
      <c r="B20" s="8" t="s">
        <v>186</v>
      </c>
      <c r="C20" s="8"/>
      <c r="D20" s="7">
        <f>_xlfn.IFNA(ROW(INDEX(all_items!$A$1:$A$57,MATCH(B20,all_items!$A$1:$A$57,0))), "")</f>
        <v>29</v>
      </c>
      <c r="E20" s="7">
        <f>_xlfn.IFNA(ROW(INDEX(all_locations!$E$1:$E$51,MATCH(A20,all_locations!$E$1:$E$51,0))), "")</f>
        <v>42</v>
      </c>
      <c r="F20" t="str">
        <f t="shared" si="0"/>
        <v>non_refill</v>
      </c>
    </row>
    <row r="21" spans="1:6" x14ac:dyDescent="0.25">
      <c r="A21" s="11" t="s">
        <v>37</v>
      </c>
      <c r="B21" s="8" t="s">
        <v>159</v>
      </c>
      <c r="C21" s="8"/>
      <c r="D21" s="7">
        <f>_xlfn.IFNA(ROW(INDEX(all_items!$A$1:$A$57,MATCH(B21,all_items!$A$1:$A$57,0))), "")</f>
        <v>1</v>
      </c>
      <c r="E21" s="7">
        <f>_xlfn.IFNA(ROW(INDEX(all_locations!$E$1:$E$51,MATCH(A21,all_locations!$E$1:$E$51,0))), "")</f>
        <v>43</v>
      </c>
      <c r="F21" t="str">
        <f t="shared" si="0"/>
        <v>non_refill</v>
      </c>
    </row>
    <row r="22" spans="1:6" x14ac:dyDescent="0.25">
      <c r="A22" s="11" t="s">
        <v>37</v>
      </c>
      <c r="B22" s="10" t="s">
        <v>160</v>
      </c>
      <c r="C22" s="8"/>
      <c r="D22" s="7">
        <f>_xlfn.IFNA(ROW(INDEX(all_items!$A$1:$A$57,MATCH(B22,all_items!$A$1:$A$57,0))), "")</f>
        <v>2</v>
      </c>
      <c r="E22" s="7">
        <f>_xlfn.IFNA(ROW(INDEX(all_locations!$E$1:$E$51,MATCH(A22,all_locations!$E$1:$E$51,0))), "")</f>
        <v>43</v>
      </c>
      <c r="F22" t="str">
        <f t="shared" si="0"/>
        <v>non_refill</v>
      </c>
    </row>
    <row r="23" spans="1:6" x14ac:dyDescent="0.25">
      <c r="A23" s="11" t="s">
        <v>37</v>
      </c>
      <c r="B23" s="8" t="s">
        <v>162</v>
      </c>
      <c r="C23" s="8"/>
      <c r="D23" s="7">
        <f>_xlfn.IFNA(ROW(INDEX(all_items!$A$1:$A$57,MATCH(B23,all_items!$A$1:$A$57,0))), "")</f>
        <v>4</v>
      </c>
      <c r="E23" s="7">
        <f>_xlfn.IFNA(ROW(INDEX(all_locations!$E$1:$E$51,MATCH(A23,all_locations!$E$1:$E$51,0))), "")</f>
        <v>43</v>
      </c>
      <c r="F23" t="str">
        <f t="shared" si="0"/>
        <v>non_refill</v>
      </c>
    </row>
    <row r="24" spans="1:6" x14ac:dyDescent="0.25">
      <c r="A24" s="11" t="s">
        <v>37</v>
      </c>
      <c r="B24" s="8" t="s">
        <v>164</v>
      </c>
      <c r="C24" s="8"/>
      <c r="D24" s="7">
        <f>_xlfn.IFNA(ROW(INDEX(all_items!$A$1:$A$57,MATCH(B24,all_items!$A$1:$A$57,0))), "")</f>
        <v>6</v>
      </c>
      <c r="E24" s="7">
        <f>_xlfn.IFNA(ROW(INDEX(all_locations!$E$1:$E$51,MATCH(A24,all_locations!$E$1:$E$51,0))), "")</f>
        <v>43</v>
      </c>
      <c r="F24" t="str">
        <f t="shared" si="0"/>
        <v>non_refill</v>
      </c>
    </row>
    <row r="25" spans="1:6" x14ac:dyDescent="0.25">
      <c r="A25" s="11" t="s">
        <v>37</v>
      </c>
      <c r="B25" s="8" t="s">
        <v>165</v>
      </c>
      <c r="C25" s="8"/>
      <c r="D25" s="7">
        <f>_xlfn.IFNA(ROW(INDEX(all_items!$A$1:$A$57,MATCH(B25,all_items!$A$1:$A$57,0))), "")</f>
        <v>7</v>
      </c>
      <c r="E25" s="7">
        <f>_xlfn.IFNA(ROW(INDEX(all_locations!$E$1:$E$51,MATCH(A25,all_locations!$E$1:$E$51,0))), "")</f>
        <v>43</v>
      </c>
      <c r="F25" t="str">
        <f t="shared" si="0"/>
        <v>non_refill</v>
      </c>
    </row>
    <row r="26" spans="1:6" x14ac:dyDescent="0.25">
      <c r="A26" s="11" t="s">
        <v>37</v>
      </c>
      <c r="B26" s="13" t="s">
        <v>168</v>
      </c>
      <c r="C26" s="11"/>
      <c r="D26" s="7">
        <f>_xlfn.IFNA(ROW(INDEX(all_items!$A$1:$A$57,MATCH(B26,all_items!$A$1:$A$57,0))), "")</f>
        <v>10</v>
      </c>
      <c r="E26" s="7">
        <f>_xlfn.IFNA(ROW(INDEX(all_locations!$E$1:$E$51,MATCH(A26,all_locations!$E$1:$E$51,0))), "")</f>
        <v>43</v>
      </c>
      <c r="F26" t="str">
        <f t="shared" si="0"/>
        <v>non_refill</v>
      </c>
    </row>
    <row r="27" spans="1:6" x14ac:dyDescent="0.25">
      <c r="A27" s="11" t="s">
        <v>40</v>
      </c>
      <c r="B27" s="8" t="s">
        <v>159</v>
      </c>
      <c r="C27" s="8"/>
      <c r="D27" s="7">
        <f>_xlfn.IFNA(ROW(INDEX(all_items!$A$1:$A$57,MATCH(B27,all_items!$A$1:$A$57,0))), "")</f>
        <v>1</v>
      </c>
      <c r="E27" s="7">
        <f>_xlfn.IFNA(ROW(INDEX(all_locations!$E$1:$E$51,MATCH(A27,all_locations!$E$1:$E$51,0))), "")</f>
        <v>44</v>
      </c>
      <c r="F27" t="str">
        <f t="shared" si="0"/>
        <v>non_refill</v>
      </c>
    </row>
    <row r="28" spans="1:6" x14ac:dyDescent="0.25">
      <c r="A28" s="11" t="s">
        <v>40</v>
      </c>
      <c r="B28" s="8" t="s">
        <v>160</v>
      </c>
      <c r="C28" s="8"/>
      <c r="D28" s="7">
        <f>_xlfn.IFNA(ROW(INDEX(all_items!$A$1:$A$57,MATCH(B28,all_items!$A$1:$A$57,0))), "")</f>
        <v>2</v>
      </c>
      <c r="E28" s="7">
        <f>_xlfn.IFNA(ROW(INDEX(all_locations!$E$1:$E$51,MATCH(A28,all_locations!$E$1:$E$51,0))), "")</f>
        <v>44</v>
      </c>
      <c r="F28" t="str">
        <f t="shared" si="0"/>
        <v>non_refill</v>
      </c>
    </row>
    <row r="29" spans="1:6" x14ac:dyDescent="0.25">
      <c r="A29" s="11" t="s">
        <v>40</v>
      </c>
      <c r="B29" s="8" t="s">
        <v>162</v>
      </c>
      <c r="C29" s="8"/>
      <c r="D29" s="7">
        <f>_xlfn.IFNA(ROW(INDEX(all_items!$A$1:$A$57,MATCH(B29,all_items!$A$1:$A$57,0))), "")</f>
        <v>4</v>
      </c>
      <c r="E29" s="7">
        <f>_xlfn.IFNA(ROW(INDEX(all_locations!$E$1:$E$51,MATCH(A29,all_locations!$E$1:$E$51,0))), "")</f>
        <v>44</v>
      </c>
      <c r="F29" t="str">
        <f t="shared" si="0"/>
        <v>non_refill</v>
      </c>
    </row>
    <row r="30" spans="1:6" x14ac:dyDescent="0.25">
      <c r="A30" s="11" t="s">
        <v>40</v>
      </c>
      <c r="B30" s="8" t="s">
        <v>164</v>
      </c>
      <c r="C30" s="8"/>
      <c r="D30" s="7">
        <f>_xlfn.IFNA(ROW(INDEX(all_items!$A$1:$A$57,MATCH(B30,all_items!$A$1:$A$57,0))), "")</f>
        <v>6</v>
      </c>
      <c r="E30" s="7">
        <f>_xlfn.IFNA(ROW(INDEX(all_locations!$E$1:$E$51,MATCH(A30,all_locations!$E$1:$E$51,0))), "")</f>
        <v>44</v>
      </c>
      <c r="F30" t="str">
        <f t="shared" si="0"/>
        <v>non_refill</v>
      </c>
    </row>
    <row r="31" spans="1:6" x14ac:dyDescent="0.25">
      <c r="A31" s="11" t="s">
        <v>40</v>
      </c>
      <c r="B31" s="8" t="s">
        <v>165</v>
      </c>
      <c r="C31" s="8"/>
      <c r="D31" s="7">
        <f>_xlfn.IFNA(ROW(INDEX(all_items!$A$1:$A$57,MATCH(B31,all_items!$A$1:$A$57,0))), "")</f>
        <v>7</v>
      </c>
      <c r="E31" s="7">
        <f>_xlfn.IFNA(ROW(INDEX(all_locations!$E$1:$E$51,MATCH(A31,all_locations!$E$1:$E$51,0))), "")</f>
        <v>44</v>
      </c>
      <c r="F31" t="str">
        <f t="shared" si="0"/>
        <v>non_refill</v>
      </c>
    </row>
    <row r="32" spans="1:6" x14ac:dyDescent="0.25">
      <c r="A32" s="11" t="s">
        <v>40</v>
      </c>
      <c r="B32" s="8" t="s">
        <v>168</v>
      </c>
      <c r="C32" s="8"/>
      <c r="D32" s="7">
        <f>_xlfn.IFNA(ROW(INDEX(all_items!$A$1:$A$57,MATCH(B32,all_items!$A$1:$A$57,0))), "")</f>
        <v>10</v>
      </c>
      <c r="E32" s="7">
        <f>_xlfn.IFNA(ROW(INDEX(all_locations!$E$1:$E$51,MATCH(A32,all_locations!$E$1:$E$51,0))), "")</f>
        <v>44</v>
      </c>
      <c r="F32" t="str">
        <f t="shared" si="0"/>
        <v>non_refill</v>
      </c>
    </row>
    <row r="33" spans="1:6" x14ac:dyDescent="0.25">
      <c r="A33" s="11" t="s">
        <v>42</v>
      </c>
      <c r="B33" s="8" t="s">
        <v>159</v>
      </c>
      <c r="C33" s="8"/>
      <c r="D33" s="7">
        <f>_xlfn.IFNA(ROW(INDEX(all_items!$A$1:$A$57,MATCH(B33,all_items!$A$1:$A$57,0))), "")</f>
        <v>1</v>
      </c>
      <c r="E33" s="7">
        <f>_xlfn.IFNA(ROW(INDEX(all_locations!$E$1:$E$51,MATCH(A33,all_locations!$E$1:$E$51,0))), "")</f>
        <v>45</v>
      </c>
      <c r="F33" t="str">
        <f t="shared" si="0"/>
        <v>non_refill</v>
      </c>
    </row>
    <row r="34" spans="1:6" x14ac:dyDescent="0.25">
      <c r="A34" s="11" t="s">
        <v>42</v>
      </c>
      <c r="B34" s="8" t="s">
        <v>160</v>
      </c>
      <c r="C34" s="8"/>
      <c r="D34" s="7">
        <f>_xlfn.IFNA(ROW(INDEX(all_items!$A$1:$A$57,MATCH(B34,all_items!$A$1:$A$57,0))), "")</f>
        <v>2</v>
      </c>
      <c r="E34" s="7">
        <f>_xlfn.IFNA(ROW(INDEX(all_locations!$E$1:$E$51,MATCH(A34,all_locations!$E$1:$E$51,0))), "")</f>
        <v>45</v>
      </c>
      <c r="F34" t="str">
        <f t="shared" ref="F34:F65" si="1">IF(OR(B34="sabun_cuci_tangan",B34="tisu",B34="pengharum_ruangan",B34="kamper"),"refill","non_refill")</f>
        <v>non_refill</v>
      </c>
    </row>
    <row r="35" spans="1:6" x14ac:dyDescent="0.25">
      <c r="A35" s="11" t="s">
        <v>42</v>
      </c>
      <c r="B35" s="8" t="s">
        <v>162</v>
      </c>
      <c r="C35" s="8"/>
      <c r="D35" s="7">
        <f>_xlfn.IFNA(ROW(INDEX(all_items!$A$1:$A$57,MATCH(B35,all_items!$A$1:$A$57,0))), "")</f>
        <v>4</v>
      </c>
      <c r="E35" s="7">
        <f>_xlfn.IFNA(ROW(INDEX(all_locations!$E$1:$E$51,MATCH(A35,all_locations!$E$1:$E$51,0))), "")</f>
        <v>45</v>
      </c>
      <c r="F35" t="str">
        <f t="shared" si="1"/>
        <v>non_refill</v>
      </c>
    </row>
    <row r="36" spans="1:6" x14ac:dyDescent="0.25">
      <c r="A36" s="11" t="s">
        <v>42</v>
      </c>
      <c r="B36" s="8" t="s">
        <v>164</v>
      </c>
      <c r="C36" s="8"/>
      <c r="D36" s="7">
        <f>_xlfn.IFNA(ROW(INDEX(all_items!$A$1:$A$57,MATCH(B36,all_items!$A$1:$A$57,0))), "")</f>
        <v>6</v>
      </c>
      <c r="E36" s="7">
        <f>_xlfn.IFNA(ROW(INDEX(all_locations!$E$1:$E$51,MATCH(A36,all_locations!$E$1:$E$51,0))), "")</f>
        <v>45</v>
      </c>
      <c r="F36" t="str">
        <f t="shared" si="1"/>
        <v>non_refill</v>
      </c>
    </row>
    <row r="37" spans="1:6" x14ac:dyDescent="0.25">
      <c r="A37" s="11" t="s">
        <v>42</v>
      </c>
      <c r="B37" s="8" t="s">
        <v>165</v>
      </c>
      <c r="C37" s="8"/>
      <c r="D37" s="7">
        <f>_xlfn.IFNA(ROW(INDEX(all_items!$A$1:$A$57,MATCH(B37,all_items!$A$1:$A$57,0))), "")</f>
        <v>7</v>
      </c>
      <c r="E37" s="7">
        <f>_xlfn.IFNA(ROW(INDEX(all_locations!$E$1:$E$51,MATCH(A37,all_locations!$E$1:$E$51,0))), "")</f>
        <v>45</v>
      </c>
      <c r="F37" t="str">
        <f t="shared" si="1"/>
        <v>non_refill</v>
      </c>
    </row>
    <row r="38" spans="1:6" x14ac:dyDescent="0.25">
      <c r="A38" s="11" t="s">
        <v>42</v>
      </c>
      <c r="B38" s="11" t="s">
        <v>168</v>
      </c>
      <c r="C38" s="11"/>
      <c r="D38" s="7">
        <f>_xlfn.IFNA(ROW(INDEX(all_items!$A$1:$A$57,MATCH(B38,all_items!$A$1:$A$57,0))), "")</f>
        <v>10</v>
      </c>
      <c r="E38" s="7">
        <f>_xlfn.IFNA(ROW(INDEX(all_locations!$E$1:$E$51,MATCH(A38,all_locations!$E$1:$E$51,0))), "")</f>
        <v>45</v>
      </c>
      <c r="F38" t="str">
        <f t="shared" si="1"/>
        <v>non_refill</v>
      </c>
    </row>
    <row r="39" spans="1:6" x14ac:dyDescent="0.25">
      <c r="A39" s="11" t="s">
        <v>45</v>
      </c>
      <c r="B39" s="8" t="s">
        <v>159</v>
      </c>
      <c r="C39" s="8"/>
      <c r="D39" s="7">
        <f>_xlfn.IFNA(ROW(INDEX(all_items!$A$1:$A$57,MATCH(B39,all_items!$A$1:$A$57,0))), "")</f>
        <v>1</v>
      </c>
      <c r="E39" s="7">
        <f>_xlfn.IFNA(ROW(INDEX(all_locations!$E$1:$E$51,MATCH(A39,all_locations!$E$1:$E$51,0))), "")</f>
        <v>46</v>
      </c>
      <c r="F39" t="str">
        <f t="shared" si="1"/>
        <v>non_refill</v>
      </c>
    </row>
    <row r="40" spans="1:6" x14ac:dyDescent="0.25">
      <c r="A40" s="11" t="s">
        <v>45</v>
      </c>
      <c r="B40" s="8" t="s">
        <v>160</v>
      </c>
      <c r="C40" s="8"/>
      <c r="D40" s="7">
        <f>_xlfn.IFNA(ROW(INDEX(all_items!$A$1:$A$57,MATCH(B40,all_items!$A$1:$A$57,0))), "")</f>
        <v>2</v>
      </c>
      <c r="E40" s="7">
        <f>_xlfn.IFNA(ROW(INDEX(all_locations!$E$1:$E$51,MATCH(A40,all_locations!$E$1:$E$51,0))), "")</f>
        <v>46</v>
      </c>
      <c r="F40" t="str">
        <f t="shared" si="1"/>
        <v>non_refill</v>
      </c>
    </row>
    <row r="41" spans="1:6" x14ac:dyDescent="0.25">
      <c r="A41" s="11" t="s">
        <v>45</v>
      </c>
      <c r="B41" s="8" t="s">
        <v>162</v>
      </c>
      <c r="C41" s="8"/>
      <c r="D41" s="7">
        <f>_xlfn.IFNA(ROW(INDEX(all_items!$A$1:$A$57,MATCH(B41,all_items!$A$1:$A$57,0))), "")</f>
        <v>4</v>
      </c>
      <c r="E41" s="7">
        <f>_xlfn.IFNA(ROW(INDEX(all_locations!$E$1:$E$51,MATCH(A41,all_locations!$E$1:$E$51,0))), "")</f>
        <v>46</v>
      </c>
      <c r="F41" t="str">
        <f t="shared" si="1"/>
        <v>non_refill</v>
      </c>
    </row>
    <row r="42" spans="1:6" x14ac:dyDescent="0.25">
      <c r="A42" s="11" t="s">
        <v>45</v>
      </c>
      <c r="B42" s="8" t="s">
        <v>164</v>
      </c>
      <c r="C42" s="8"/>
      <c r="D42" s="7">
        <f>_xlfn.IFNA(ROW(INDEX(all_items!$A$1:$A$57,MATCH(B42,all_items!$A$1:$A$57,0))), "")</f>
        <v>6</v>
      </c>
      <c r="E42" s="7">
        <f>_xlfn.IFNA(ROW(INDEX(all_locations!$E$1:$E$51,MATCH(A42,all_locations!$E$1:$E$51,0))), "")</f>
        <v>46</v>
      </c>
      <c r="F42" t="str">
        <f t="shared" si="1"/>
        <v>non_refill</v>
      </c>
    </row>
    <row r="43" spans="1:6" x14ac:dyDescent="0.25">
      <c r="A43" s="11" t="s">
        <v>45</v>
      </c>
      <c r="B43" s="8" t="s">
        <v>165</v>
      </c>
      <c r="C43" s="8"/>
      <c r="D43" s="7">
        <f>_xlfn.IFNA(ROW(INDEX(all_items!$A$1:$A$57,MATCH(B43,all_items!$A$1:$A$57,0))), "")</f>
        <v>7</v>
      </c>
      <c r="E43" s="7">
        <f>_xlfn.IFNA(ROW(INDEX(all_locations!$E$1:$E$51,MATCH(A43,all_locations!$E$1:$E$51,0))), "")</f>
        <v>46</v>
      </c>
      <c r="F43" t="str">
        <f t="shared" si="1"/>
        <v>non_refill</v>
      </c>
    </row>
    <row r="44" spans="1:6" x14ac:dyDescent="0.25">
      <c r="A44" s="11" t="s">
        <v>45</v>
      </c>
      <c r="B44" s="8" t="s">
        <v>168</v>
      </c>
      <c r="C44" s="8"/>
      <c r="D44" s="7">
        <f>_xlfn.IFNA(ROW(INDEX(all_items!$A$1:$A$57,MATCH(B44,all_items!$A$1:$A$57,0))), "")</f>
        <v>10</v>
      </c>
      <c r="E44" s="7">
        <f>_xlfn.IFNA(ROW(INDEX(all_locations!$E$1:$E$51,MATCH(A44,all_locations!$E$1:$E$51,0))), "")</f>
        <v>46</v>
      </c>
      <c r="F44" t="str">
        <f t="shared" si="1"/>
        <v>non_refill</v>
      </c>
    </row>
    <row r="45" spans="1:6" x14ac:dyDescent="0.25">
      <c r="A45" s="11" t="s">
        <v>45</v>
      </c>
      <c r="B45" s="8" t="s">
        <v>184</v>
      </c>
      <c r="C45" s="8"/>
      <c r="D45" s="7">
        <f>_xlfn.IFNA(ROW(INDEX(all_items!$A$1:$A$57,MATCH(B45,all_items!$A$1:$A$57,0))), "")</f>
        <v>27</v>
      </c>
      <c r="E45" s="7">
        <f>_xlfn.IFNA(ROW(INDEX(all_locations!$E$1:$E$51,MATCH(A45,all_locations!$E$1:$E$51,0))), "")</f>
        <v>46</v>
      </c>
      <c r="F45" t="str">
        <f t="shared" si="1"/>
        <v>non_refill</v>
      </c>
    </row>
    <row r="46" spans="1:6" x14ac:dyDescent="0.25">
      <c r="A46" s="11" t="s">
        <v>48</v>
      </c>
      <c r="B46" s="8" t="s">
        <v>159</v>
      </c>
      <c r="C46" s="8"/>
      <c r="D46" s="7">
        <f>_xlfn.IFNA(ROW(INDEX(all_items!$A$1:$A$57,MATCH(B46,all_items!$A$1:$A$57,0))), "")</f>
        <v>1</v>
      </c>
      <c r="E46" s="7">
        <f>_xlfn.IFNA(ROW(INDEX(all_locations!$E$1:$E$51,MATCH(A46,all_locations!$E$1:$E$51,0))), "")</f>
        <v>47</v>
      </c>
      <c r="F46" t="str">
        <f t="shared" si="1"/>
        <v>non_refill</v>
      </c>
    </row>
    <row r="47" spans="1:6" x14ac:dyDescent="0.25">
      <c r="A47" s="11" t="s">
        <v>48</v>
      </c>
      <c r="B47" s="8" t="s">
        <v>160</v>
      </c>
      <c r="C47" s="8"/>
      <c r="D47" s="7">
        <f>_xlfn.IFNA(ROW(INDEX(all_items!$A$1:$A$57,MATCH(B47,all_items!$A$1:$A$57,0))), "")</f>
        <v>2</v>
      </c>
      <c r="E47" s="7">
        <f>_xlfn.IFNA(ROW(INDEX(all_locations!$E$1:$E$51,MATCH(A47,all_locations!$E$1:$E$51,0))), "")</f>
        <v>47</v>
      </c>
      <c r="F47" t="str">
        <f t="shared" si="1"/>
        <v>non_refill</v>
      </c>
    </row>
    <row r="48" spans="1:6" x14ac:dyDescent="0.25">
      <c r="A48" s="11" t="s">
        <v>48</v>
      </c>
      <c r="B48" s="8" t="s">
        <v>162</v>
      </c>
      <c r="C48" s="8"/>
      <c r="D48" s="7">
        <f>_xlfn.IFNA(ROW(INDEX(all_items!$A$1:$A$57,MATCH(B48,all_items!$A$1:$A$57,0))), "")</f>
        <v>4</v>
      </c>
      <c r="E48" s="7">
        <f>_xlfn.IFNA(ROW(INDEX(all_locations!$E$1:$E$51,MATCH(A48,all_locations!$E$1:$E$51,0))), "")</f>
        <v>47</v>
      </c>
      <c r="F48" t="str">
        <f t="shared" si="1"/>
        <v>non_refill</v>
      </c>
    </row>
    <row r="49" spans="1:6" x14ac:dyDescent="0.25">
      <c r="A49" s="11" t="s">
        <v>48</v>
      </c>
      <c r="B49" s="8" t="s">
        <v>164</v>
      </c>
      <c r="C49" s="8"/>
      <c r="D49" s="7">
        <f>_xlfn.IFNA(ROW(INDEX(all_items!$A$1:$A$57,MATCH(B49,all_items!$A$1:$A$57,0))), "")</f>
        <v>6</v>
      </c>
      <c r="E49" s="7">
        <f>_xlfn.IFNA(ROW(INDEX(all_locations!$E$1:$E$51,MATCH(A49,all_locations!$E$1:$E$51,0))), "")</f>
        <v>47</v>
      </c>
      <c r="F49" t="str">
        <f t="shared" si="1"/>
        <v>non_refill</v>
      </c>
    </row>
    <row r="50" spans="1:6" x14ac:dyDescent="0.25">
      <c r="A50" s="11" t="s">
        <v>48</v>
      </c>
      <c r="B50" s="8" t="s">
        <v>165</v>
      </c>
      <c r="C50" s="8"/>
      <c r="D50" s="7">
        <f>_xlfn.IFNA(ROW(INDEX(all_items!$A$1:$A$57,MATCH(B50,all_items!$A$1:$A$57,0))), "")</f>
        <v>7</v>
      </c>
      <c r="E50" s="7">
        <f>_xlfn.IFNA(ROW(INDEX(all_locations!$E$1:$E$51,MATCH(A50,all_locations!$E$1:$E$51,0))), "")</f>
        <v>47</v>
      </c>
      <c r="F50" t="str">
        <f t="shared" si="1"/>
        <v>non_refill</v>
      </c>
    </row>
    <row r="51" spans="1:6" x14ac:dyDescent="0.25">
      <c r="A51" s="11" t="s">
        <v>48</v>
      </c>
      <c r="B51" s="8" t="s">
        <v>168</v>
      </c>
      <c r="C51" s="8"/>
      <c r="D51" s="7">
        <f>_xlfn.IFNA(ROW(INDEX(all_items!$A$1:$A$57,MATCH(B51,all_items!$A$1:$A$57,0))), "")</f>
        <v>10</v>
      </c>
      <c r="E51" s="7">
        <f>_xlfn.IFNA(ROW(INDEX(all_locations!$E$1:$E$51,MATCH(A51,all_locations!$E$1:$E$51,0))), "")</f>
        <v>47</v>
      </c>
      <c r="F51" t="str">
        <f t="shared" si="1"/>
        <v>non_refill</v>
      </c>
    </row>
    <row r="52" spans="1:6" x14ac:dyDescent="0.25">
      <c r="A52" s="11" t="s">
        <v>48</v>
      </c>
      <c r="B52" s="8" t="s">
        <v>184</v>
      </c>
      <c r="C52" s="8"/>
      <c r="D52" s="7">
        <f>_xlfn.IFNA(ROW(INDEX(all_items!$A$1:$A$57,MATCH(B52,all_items!$A$1:$A$57,0))), "")</f>
        <v>27</v>
      </c>
      <c r="E52" s="7">
        <f>_xlfn.IFNA(ROW(INDEX(all_locations!$E$1:$E$51,MATCH(A52,all_locations!$E$1:$E$51,0))), "")</f>
        <v>47</v>
      </c>
      <c r="F52" t="str">
        <f t="shared" si="1"/>
        <v>non_refill</v>
      </c>
    </row>
    <row r="53" spans="1:6" x14ac:dyDescent="0.25">
      <c r="A53" s="11" t="s">
        <v>51</v>
      </c>
      <c r="B53" s="8" t="s">
        <v>159</v>
      </c>
      <c r="C53" s="8"/>
      <c r="D53" s="7">
        <f>_xlfn.IFNA(ROW(INDEX(all_items!$A$1:$A$57,MATCH(B53,all_items!$A$1:$A$57,0))), "")</f>
        <v>1</v>
      </c>
      <c r="E53" s="7">
        <f>_xlfn.IFNA(ROW(INDEX(all_locations!$E$1:$E$51,MATCH(A53,all_locations!$E$1:$E$51,0))), "")</f>
        <v>48</v>
      </c>
      <c r="F53" t="str">
        <f t="shared" si="1"/>
        <v>non_refill</v>
      </c>
    </row>
    <row r="54" spans="1:6" x14ac:dyDescent="0.25">
      <c r="A54" s="11" t="s">
        <v>51</v>
      </c>
      <c r="B54" s="8" t="s">
        <v>160</v>
      </c>
      <c r="C54" s="8"/>
      <c r="D54" s="7">
        <f>_xlfn.IFNA(ROW(INDEX(all_items!$A$1:$A$57,MATCH(B54,all_items!$A$1:$A$57,0))), "")</f>
        <v>2</v>
      </c>
      <c r="E54" s="7">
        <f>_xlfn.IFNA(ROW(INDEX(all_locations!$E$1:$E$51,MATCH(A54,all_locations!$E$1:$E$51,0))), "")</f>
        <v>48</v>
      </c>
      <c r="F54" t="str">
        <f t="shared" si="1"/>
        <v>non_refill</v>
      </c>
    </row>
    <row r="55" spans="1:6" x14ac:dyDescent="0.25">
      <c r="A55" s="11" t="s">
        <v>51</v>
      </c>
      <c r="B55" s="8" t="s">
        <v>162</v>
      </c>
      <c r="C55" s="8"/>
      <c r="D55" s="7">
        <f>_xlfn.IFNA(ROW(INDEX(all_items!$A$1:$A$57,MATCH(B55,all_items!$A$1:$A$57,0))), "")</f>
        <v>4</v>
      </c>
      <c r="E55" s="7">
        <f>_xlfn.IFNA(ROW(INDEX(all_locations!$E$1:$E$51,MATCH(A55,all_locations!$E$1:$E$51,0))), "")</f>
        <v>48</v>
      </c>
      <c r="F55" t="str">
        <f t="shared" si="1"/>
        <v>non_refill</v>
      </c>
    </row>
    <row r="56" spans="1:6" x14ac:dyDescent="0.25">
      <c r="A56" s="11" t="s">
        <v>51</v>
      </c>
      <c r="B56" s="8" t="s">
        <v>165</v>
      </c>
      <c r="C56" s="8"/>
      <c r="D56" s="7">
        <f>_xlfn.IFNA(ROW(INDEX(all_items!$A$1:$A$57,MATCH(B56,all_items!$A$1:$A$57,0))), "")</f>
        <v>7</v>
      </c>
      <c r="E56" s="7">
        <f>_xlfn.IFNA(ROW(INDEX(all_locations!$E$1:$E$51,MATCH(A56,all_locations!$E$1:$E$51,0))), "")</f>
        <v>48</v>
      </c>
      <c r="F56" t="str">
        <f t="shared" si="1"/>
        <v>non_refill</v>
      </c>
    </row>
    <row r="57" spans="1:6" x14ac:dyDescent="0.25">
      <c r="A57" s="11" t="s">
        <v>51</v>
      </c>
      <c r="B57" s="8" t="s">
        <v>184</v>
      </c>
      <c r="C57" s="8"/>
      <c r="D57" s="7">
        <f>_xlfn.IFNA(ROW(INDEX(all_items!$A$1:$A$57,MATCH(B57,all_items!$A$1:$A$57,0))), "")</f>
        <v>27</v>
      </c>
      <c r="E57" s="7">
        <f>_xlfn.IFNA(ROW(INDEX(all_locations!$E$1:$E$51,MATCH(A57,all_locations!$E$1:$E$51,0))), "")</f>
        <v>48</v>
      </c>
      <c r="F57" t="str">
        <f t="shared" si="1"/>
        <v>non_refill</v>
      </c>
    </row>
    <row r="58" spans="1:6" x14ac:dyDescent="0.25">
      <c r="A58" s="11" t="s">
        <v>51</v>
      </c>
      <c r="B58" s="8" t="s">
        <v>211</v>
      </c>
      <c r="C58" s="8"/>
      <c r="D58" s="7">
        <f>_xlfn.IFNA(ROW(INDEX(all_items!$A$1:$A$57,MATCH(B58,all_items!$A$1:$A$57,0))), "")</f>
        <v>54</v>
      </c>
      <c r="E58" s="7">
        <f>_xlfn.IFNA(ROW(INDEX(all_locations!$E$1:$E$51,MATCH(A58,all_locations!$E$1:$E$51,0))), "")</f>
        <v>48</v>
      </c>
      <c r="F58" t="str">
        <f t="shared" si="1"/>
        <v>non_refill</v>
      </c>
    </row>
    <row r="59" spans="1:6" x14ac:dyDescent="0.25">
      <c r="A59" s="11" t="s">
        <v>54</v>
      </c>
      <c r="B59" s="8" t="s">
        <v>159</v>
      </c>
      <c r="C59" s="8"/>
      <c r="D59" s="7">
        <f>_xlfn.IFNA(ROW(INDEX(all_items!$A$1:$A$57,MATCH(B59,all_items!$A$1:$A$57,0))), "")</f>
        <v>1</v>
      </c>
      <c r="E59" s="7">
        <f>_xlfn.IFNA(ROW(INDEX(all_locations!$E$1:$E$51,MATCH(A59,all_locations!$E$1:$E$51,0))), "")</f>
        <v>49</v>
      </c>
      <c r="F59" t="str">
        <f t="shared" si="1"/>
        <v>non_refill</v>
      </c>
    </row>
    <row r="60" spans="1:6" x14ac:dyDescent="0.25">
      <c r="A60" s="11" t="s">
        <v>54</v>
      </c>
      <c r="B60" s="8" t="s">
        <v>160</v>
      </c>
      <c r="C60" s="8"/>
      <c r="D60" s="7">
        <f>_xlfn.IFNA(ROW(INDEX(all_items!$A$1:$A$57,MATCH(B60,all_items!$A$1:$A$57,0))), "")</f>
        <v>2</v>
      </c>
      <c r="E60" s="7">
        <f>_xlfn.IFNA(ROW(INDEX(all_locations!$E$1:$E$51,MATCH(A60,all_locations!$E$1:$E$51,0))), "")</f>
        <v>49</v>
      </c>
      <c r="F60" t="str">
        <f t="shared" si="1"/>
        <v>non_refill</v>
      </c>
    </row>
    <row r="61" spans="1:6" x14ac:dyDescent="0.25">
      <c r="A61" s="11" t="s">
        <v>54</v>
      </c>
      <c r="B61" s="8" t="s">
        <v>162</v>
      </c>
      <c r="C61" s="8"/>
      <c r="D61" s="7">
        <f>_xlfn.IFNA(ROW(INDEX(all_items!$A$1:$A$57,MATCH(B61,all_items!$A$1:$A$57,0))), "")</f>
        <v>4</v>
      </c>
      <c r="E61" s="7">
        <f>_xlfn.IFNA(ROW(INDEX(all_locations!$E$1:$E$51,MATCH(A61,all_locations!$E$1:$E$51,0))), "")</f>
        <v>49</v>
      </c>
      <c r="F61" t="str">
        <f t="shared" si="1"/>
        <v>non_refill</v>
      </c>
    </row>
    <row r="62" spans="1:6" x14ac:dyDescent="0.25">
      <c r="A62" s="11" t="s">
        <v>54</v>
      </c>
      <c r="B62" s="8" t="s">
        <v>165</v>
      </c>
      <c r="C62" s="8"/>
      <c r="D62" s="7">
        <f>_xlfn.IFNA(ROW(INDEX(all_items!$A$1:$A$57,MATCH(B62,all_items!$A$1:$A$57,0))), "")</f>
        <v>7</v>
      </c>
      <c r="E62" s="7">
        <f>_xlfn.IFNA(ROW(INDEX(all_locations!$E$1:$E$51,MATCH(A62,all_locations!$E$1:$E$51,0))), "")</f>
        <v>49</v>
      </c>
      <c r="F62" t="str">
        <f t="shared" si="1"/>
        <v>non_refill</v>
      </c>
    </row>
    <row r="63" spans="1:6" x14ac:dyDescent="0.25">
      <c r="A63" s="11" t="s">
        <v>54</v>
      </c>
      <c r="B63" s="8" t="s">
        <v>184</v>
      </c>
      <c r="C63" s="8"/>
      <c r="D63" s="7">
        <f>_xlfn.IFNA(ROW(INDEX(all_items!$A$1:$A$57,MATCH(B63,all_items!$A$1:$A$57,0))), "")</f>
        <v>27</v>
      </c>
      <c r="E63" s="7">
        <f>_xlfn.IFNA(ROW(INDEX(all_locations!$E$1:$E$51,MATCH(A63,all_locations!$E$1:$E$51,0))), "")</f>
        <v>49</v>
      </c>
      <c r="F63" t="str">
        <f t="shared" si="1"/>
        <v>non_refill</v>
      </c>
    </row>
    <row r="64" spans="1:6" x14ac:dyDescent="0.25">
      <c r="A64" s="11" t="s">
        <v>54</v>
      </c>
      <c r="B64" s="8" t="s">
        <v>211</v>
      </c>
      <c r="C64" s="8"/>
      <c r="D64" s="7">
        <f>_xlfn.IFNA(ROW(INDEX(all_items!$A$1:$A$57,MATCH(B64,all_items!$A$1:$A$57,0))), "")</f>
        <v>54</v>
      </c>
      <c r="E64" s="7">
        <f>_xlfn.IFNA(ROW(INDEX(all_locations!$E$1:$E$51,MATCH(A64,all_locations!$E$1:$E$51,0))), "")</f>
        <v>49</v>
      </c>
      <c r="F64" t="str">
        <f t="shared" si="1"/>
        <v>non_refill</v>
      </c>
    </row>
    <row r="65" spans="1:6" x14ac:dyDescent="0.25">
      <c r="A65" s="11" t="s">
        <v>57</v>
      </c>
      <c r="B65" s="8" t="s">
        <v>159</v>
      </c>
      <c r="C65" s="8"/>
      <c r="D65" s="7">
        <f>_xlfn.IFNA(ROW(INDEX(all_items!$A$1:$A$57,MATCH(B65,all_items!$A$1:$A$57,0))), "")</f>
        <v>1</v>
      </c>
      <c r="E65" s="7">
        <f>_xlfn.IFNA(ROW(INDEX(all_locations!$E$1:$E$51,MATCH(A65,all_locations!$E$1:$E$51,0))), "")</f>
        <v>50</v>
      </c>
      <c r="F65" t="str">
        <f t="shared" si="1"/>
        <v>non_refill</v>
      </c>
    </row>
    <row r="66" spans="1:6" x14ac:dyDescent="0.25">
      <c r="A66" s="11" t="s">
        <v>57</v>
      </c>
      <c r="B66" s="8" t="s">
        <v>160</v>
      </c>
      <c r="C66" s="8"/>
      <c r="D66" s="7">
        <f>_xlfn.IFNA(ROW(INDEX(all_items!$A$1:$A$57,MATCH(B66,all_items!$A$1:$A$57,0))), "")</f>
        <v>2</v>
      </c>
      <c r="E66" s="7">
        <f>_xlfn.IFNA(ROW(INDEX(all_locations!$E$1:$E$51,MATCH(A66,all_locations!$E$1:$E$51,0))), "")</f>
        <v>50</v>
      </c>
      <c r="F66" t="str">
        <f t="shared" ref="F66:F81" si="2">IF(OR(B66="sabun_cuci_tangan",B66="tisu",B66="pengharum_ruangan",B66="kamper"),"refill","non_refill")</f>
        <v>non_refill</v>
      </c>
    </row>
    <row r="67" spans="1:6" x14ac:dyDescent="0.25">
      <c r="A67" s="11" t="s">
        <v>57</v>
      </c>
      <c r="B67" s="8" t="s">
        <v>164</v>
      </c>
      <c r="C67" s="8"/>
      <c r="D67" s="7">
        <f>_xlfn.IFNA(ROW(INDEX(all_items!$A$1:$A$57,MATCH(B67,all_items!$A$1:$A$57,0))), "")</f>
        <v>6</v>
      </c>
      <c r="E67" s="7">
        <f>_xlfn.IFNA(ROW(INDEX(all_locations!$E$1:$E$51,MATCH(A67,all_locations!$E$1:$E$51,0))), "")</f>
        <v>50</v>
      </c>
      <c r="F67" t="str">
        <f t="shared" si="2"/>
        <v>non_refill</v>
      </c>
    </row>
    <row r="68" spans="1:6" x14ac:dyDescent="0.25">
      <c r="A68" s="11" t="s">
        <v>57</v>
      </c>
      <c r="B68" s="8" t="s">
        <v>165</v>
      </c>
      <c r="C68" s="8"/>
      <c r="D68" s="7">
        <f>_xlfn.IFNA(ROW(INDEX(all_items!$A$1:$A$57,MATCH(B68,all_items!$A$1:$A$57,0))), "")</f>
        <v>7</v>
      </c>
      <c r="E68" s="7">
        <f>_xlfn.IFNA(ROW(INDEX(all_locations!$E$1:$E$51,MATCH(A68,all_locations!$E$1:$E$51,0))), "")</f>
        <v>50</v>
      </c>
      <c r="F68" t="str">
        <f t="shared" si="2"/>
        <v>non_refill</v>
      </c>
    </row>
    <row r="69" spans="1:6" x14ac:dyDescent="0.25">
      <c r="A69" s="11" t="s">
        <v>57</v>
      </c>
      <c r="B69" s="8" t="s">
        <v>167</v>
      </c>
      <c r="C69" s="8"/>
      <c r="D69" s="7">
        <f>_xlfn.IFNA(ROW(INDEX(all_items!$A$1:$A$57,MATCH(B69,all_items!$A$1:$A$57,0))), "")</f>
        <v>9</v>
      </c>
      <c r="E69" s="7">
        <f>_xlfn.IFNA(ROW(INDEX(all_locations!$E$1:$E$51,MATCH(A69,all_locations!$E$1:$E$51,0))), "")</f>
        <v>50</v>
      </c>
      <c r="F69" t="str">
        <f t="shared" si="2"/>
        <v>non_refill</v>
      </c>
    </row>
    <row r="70" spans="1:6" x14ac:dyDescent="0.25">
      <c r="A70" s="11" t="s">
        <v>57</v>
      </c>
      <c r="B70" s="8" t="s">
        <v>168</v>
      </c>
      <c r="C70" s="8"/>
      <c r="D70" s="7">
        <f>_xlfn.IFNA(ROW(INDEX(all_items!$A$1:$A$57,MATCH(B70,all_items!$A$1:$A$57,0))), "")</f>
        <v>10</v>
      </c>
      <c r="E70" s="7">
        <f>_xlfn.IFNA(ROW(INDEX(all_locations!$E$1:$E$51,MATCH(A70,all_locations!$E$1:$E$51,0))), "")</f>
        <v>50</v>
      </c>
      <c r="F70" t="str">
        <f t="shared" si="2"/>
        <v>non_refill</v>
      </c>
    </row>
    <row r="71" spans="1:6" x14ac:dyDescent="0.25">
      <c r="A71" s="11" t="s">
        <v>57</v>
      </c>
      <c r="B71" s="8" t="s">
        <v>171</v>
      </c>
      <c r="C71" s="8"/>
      <c r="D71" s="7">
        <f>_xlfn.IFNA(ROW(INDEX(all_items!$A$1:$A$57,MATCH(B71,all_items!$A$1:$A$57,0))), "")</f>
        <v>13</v>
      </c>
      <c r="E71" s="7">
        <f>_xlfn.IFNA(ROW(INDEX(all_locations!$E$1:$E$51,MATCH(A71,all_locations!$E$1:$E$51,0))), "")</f>
        <v>50</v>
      </c>
      <c r="F71" t="str">
        <f t="shared" si="2"/>
        <v>non_refill</v>
      </c>
    </row>
    <row r="72" spans="1:6" x14ac:dyDescent="0.25">
      <c r="A72" s="11" t="s">
        <v>57</v>
      </c>
      <c r="B72" s="8" t="s">
        <v>172</v>
      </c>
      <c r="C72" s="8"/>
      <c r="D72" s="7">
        <f>_xlfn.IFNA(ROW(INDEX(all_items!$A$1:$A$57,MATCH(B72,all_items!$A$1:$A$57,0))), "")</f>
        <v>14</v>
      </c>
      <c r="E72" s="7">
        <f>_xlfn.IFNA(ROW(INDEX(all_locations!$E$1:$E$51,MATCH(A72,all_locations!$E$1:$E$51,0))), "")</f>
        <v>50</v>
      </c>
      <c r="F72" t="str">
        <f t="shared" si="2"/>
        <v>refill</v>
      </c>
    </row>
    <row r="73" spans="1:6" x14ac:dyDescent="0.25">
      <c r="A73" s="11" t="s">
        <v>57</v>
      </c>
      <c r="B73" s="8" t="s">
        <v>186</v>
      </c>
      <c r="C73" s="8"/>
      <c r="D73" s="7">
        <f>_xlfn.IFNA(ROW(INDEX(all_items!$A$1:$A$57,MATCH(B73,all_items!$A$1:$A$57,0))), "")</f>
        <v>29</v>
      </c>
      <c r="E73" s="7">
        <f>_xlfn.IFNA(ROW(INDEX(all_locations!$E$1:$E$51,MATCH(A73,all_locations!$E$1:$E$51,0))), "")</f>
        <v>50</v>
      </c>
      <c r="F73" t="str">
        <f t="shared" si="2"/>
        <v>non_refill</v>
      </c>
    </row>
    <row r="74" spans="1:6" x14ac:dyDescent="0.25">
      <c r="A74" s="11" t="s">
        <v>57</v>
      </c>
      <c r="B74" s="8" t="s">
        <v>210</v>
      </c>
      <c r="C74" s="8"/>
      <c r="D74" s="7">
        <f>_xlfn.IFNA(ROW(INDEX(all_items!$A$1:$A$57,MATCH(B74,all_items!$A$1:$A$57,0))), "")</f>
        <v>53</v>
      </c>
      <c r="E74" s="7">
        <f>_xlfn.IFNA(ROW(INDEX(all_locations!$E$1:$E$51,MATCH(A74,all_locations!$E$1:$E$51,0))), "")</f>
        <v>50</v>
      </c>
      <c r="F74" t="str">
        <f t="shared" si="2"/>
        <v>non_refill</v>
      </c>
    </row>
    <row r="75" spans="1:6" x14ac:dyDescent="0.25">
      <c r="A75" s="11" t="s">
        <v>57</v>
      </c>
      <c r="B75" s="8" t="s">
        <v>212</v>
      </c>
      <c r="C75" s="8"/>
      <c r="D75" s="7">
        <f>_xlfn.IFNA(ROW(INDEX(all_items!$A$1:$A$57,MATCH(B75,all_items!$A$1:$A$57,0))), "")</f>
        <v>55</v>
      </c>
      <c r="E75" s="7">
        <f>_xlfn.IFNA(ROW(INDEX(all_locations!$E$1:$E$51,MATCH(A75,all_locations!$E$1:$E$51,0))), "")</f>
        <v>50</v>
      </c>
      <c r="F75" t="str">
        <f t="shared" si="2"/>
        <v>non_refill</v>
      </c>
    </row>
    <row r="76" spans="1:6" x14ac:dyDescent="0.25">
      <c r="A76" s="11" t="s">
        <v>59</v>
      </c>
      <c r="B76" s="8" t="s">
        <v>159</v>
      </c>
      <c r="C76" s="8"/>
      <c r="D76" s="7">
        <f>_xlfn.IFNA(ROW(INDEX(all_items!$A$1:$A$57,MATCH(B76,all_items!$A$1:$A$57,0))), "")</f>
        <v>1</v>
      </c>
      <c r="E76" s="7">
        <f>_xlfn.IFNA(ROW(INDEX(all_locations!$E$1:$E$51,MATCH(A76,all_locations!$E$1:$E$51,0))), "")</f>
        <v>51</v>
      </c>
      <c r="F76" t="str">
        <f t="shared" si="2"/>
        <v>non_refill</v>
      </c>
    </row>
    <row r="77" spans="1:6" x14ac:dyDescent="0.25">
      <c r="A77" s="11" t="s">
        <v>59</v>
      </c>
      <c r="B77" s="27" t="s">
        <v>160</v>
      </c>
      <c r="C77" s="8"/>
      <c r="D77" s="7">
        <f>_xlfn.IFNA(ROW(INDEX(all_items!$A$1:$A$57,MATCH(B77,all_items!$A$1:$A$57,0))), "")</f>
        <v>2</v>
      </c>
      <c r="E77" s="7">
        <f>_xlfn.IFNA(ROW(INDEX(all_locations!$E$1:$E$51,MATCH(A77,all_locations!$E$1:$E$51,0))), "")</f>
        <v>51</v>
      </c>
      <c r="F77" t="str">
        <f t="shared" si="2"/>
        <v>non_refill</v>
      </c>
    </row>
    <row r="78" spans="1:6" x14ac:dyDescent="0.25">
      <c r="A78" s="11" t="s">
        <v>59</v>
      </c>
      <c r="B78" s="8" t="s">
        <v>162</v>
      </c>
      <c r="C78" s="8"/>
      <c r="D78" s="7">
        <f>_xlfn.IFNA(ROW(INDEX(all_items!$A$1:$A$57,MATCH(B78,all_items!$A$1:$A$57,0))), "")</f>
        <v>4</v>
      </c>
      <c r="E78" s="7">
        <f>_xlfn.IFNA(ROW(INDEX(all_locations!$E$1:$E$51,MATCH(A78,all_locations!$E$1:$E$51,0))), "")</f>
        <v>51</v>
      </c>
      <c r="F78" t="str">
        <f t="shared" si="2"/>
        <v>non_refill</v>
      </c>
    </row>
    <row r="79" spans="1:6" x14ac:dyDescent="0.25">
      <c r="A79" s="11" t="s">
        <v>59</v>
      </c>
      <c r="B79" s="8" t="s">
        <v>165</v>
      </c>
      <c r="C79" s="8"/>
      <c r="D79" s="7">
        <f>_xlfn.IFNA(ROW(INDEX(all_items!$A$1:$A$57,MATCH(B79,all_items!$A$1:$A$57,0))), "")</f>
        <v>7</v>
      </c>
      <c r="E79" s="7">
        <f>_xlfn.IFNA(ROW(INDEX(all_locations!$E$1:$E$51,MATCH(A79,all_locations!$E$1:$E$51,0))), "")</f>
        <v>51</v>
      </c>
      <c r="F79" t="str">
        <f t="shared" si="2"/>
        <v>non_refill</v>
      </c>
    </row>
    <row r="80" spans="1:6" x14ac:dyDescent="0.25">
      <c r="A80" s="11" t="s">
        <v>59</v>
      </c>
      <c r="B80" s="8" t="s">
        <v>168</v>
      </c>
      <c r="C80" s="8"/>
      <c r="D80" s="7">
        <f>_xlfn.IFNA(ROW(INDEX(all_items!$A$1:$A$57,MATCH(B80,all_items!$A$1:$A$57,0))), "")</f>
        <v>10</v>
      </c>
      <c r="E80" s="7">
        <f>_xlfn.IFNA(ROW(INDEX(all_locations!$E$1:$E$51,MATCH(A80,all_locations!$E$1:$E$51,0))), "")</f>
        <v>51</v>
      </c>
      <c r="F80" t="str">
        <f t="shared" si="2"/>
        <v>non_refill</v>
      </c>
    </row>
    <row r="81" spans="1:6" x14ac:dyDescent="0.25">
      <c r="A81" s="11" t="s">
        <v>59</v>
      </c>
      <c r="B81" s="8" t="s">
        <v>184</v>
      </c>
      <c r="C81" s="8"/>
      <c r="D81" s="7">
        <f>_xlfn.IFNA(ROW(INDEX(all_items!$A$1:$A$57,MATCH(B81,all_items!$A$1:$A$57,0))), "")</f>
        <v>27</v>
      </c>
      <c r="E81" s="7">
        <f>_xlfn.IFNA(ROW(INDEX(all_locations!$E$1:$E$51,MATCH(A81,all_locations!$E$1:$E$51,0))), "")</f>
        <v>51</v>
      </c>
      <c r="F81" t="str">
        <f t="shared" si="2"/>
        <v>non_refill</v>
      </c>
    </row>
    <row r="82" spans="1:6" x14ac:dyDescent="0.25">
      <c r="A82"/>
      <c r="B82"/>
      <c r="C82"/>
      <c r="D82"/>
      <c r="E82"/>
    </row>
  </sheetData>
  <sortState xmlns:xlrd2="http://schemas.microsoft.com/office/spreadsheetml/2017/richdata2" ref="A2:E82">
    <sortCondition ref="E1:E8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5"/>
  <sheetViews>
    <sheetView tabSelected="1" workbookViewId="0">
      <selection activeCell="C12" sqref="C12"/>
    </sheetView>
  </sheetViews>
  <sheetFormatPr defaultRowHeight="15" x14ac:dyDescent="0.25"/>
  <cols>
    <col min="1" max="1" width="27.7109375" bestFit="1" customWidth="1"/>
    <col min="2" max="2" width="59.5703125" bestFit="1" customWidth="1"/>
  </cols>
  <sheetData>
    <row r="1" spans="1:2" ht="15.75" x14ac:dyDescent="0.25">
      <c r="A1" s="2" t="s">
        <v>159</v>
      </c>
      <c r="B1" t="s">
        <v>86</v>
      </c>
    </row>
    <row r="2" spans="1:2" ht="15.75" x14ac:dyDescent="0.25">
      <c r="A2" s="3" t="s">
        <v>160</v>
      </c>
      <c r="B2" t="s">
        <v>85</v>
      </c>
    </row>
    <row r="3" spans="1:2" ht="15.75" x14ac:dyDescent="0.25">
      <c r="A3" s="1" t="s">
        <v>161</v>
      </c>
      <c r="B3" t="s">
        <v>87</v>
      </c>
    </row>
    <row r="4" spans="1:2" ht="15.75" x14ac:dyDescent="0.25">
      <c r="A4" s="3" t="s">
        <v>162</v>
      </c>
      <c r="B4" t="s">
        <v>88</v>
      </c>
    </row>
    <row r="5" spans="1:2" ht="15.75" x14ac:dyDescent="0.25">
      <c r="A5" s="6" t="s">
        <v>163</v>
      </c>
      <c r="B5" t="s">
        <v>89</v>
      </c>
    </row>
    <row r="6" spans="1:2" ht="15.75" x14ac:dyDescent="0.25">
      <c r="A6" s="3" t="s">
        <v>164</v>
      </c>
      <c r="B6" t="s">
        <v>90</v>
      </c>
    </row>
    <row r="7" spans="1:2" ht="15.75" x14ac:dyDescent="0.25">
      <c r="A7" s="3" t="s">
        <v>165</v>
      </c>
      <c r="B7" t="s">
        <v>92</v>
      </c>
    </row>
    <row r="8" spans="1:2" ht="15.75" x14ac:dyDescent="0.25">
      <c r="A8" s="3" t="s">
        <v>166</v>
      </c>
      <c r="B8" t="s">
        <v>91</v>
      </c>
    </row>
    <row r="9" spans="1:2" ht="15.75" x14ac:dyDescent="0.25">
      <c r="A9" s="3" t="s">
        <v>167</v>
      </c>
      <c r="B9" t="s">
        <v>93</v>
      </c>
    </row>
    <row r="10" spans="1:2" ht="15.75" x14ac:dyDescent="0.25">
      <c r="A10" s="3" t="s">
        <v>168</v>
      </c>
      <c r="B10" t="s">
        <v>94</v>
      </c>
    </row>
    <row r="11" spans="1:2" ht="15.75" x14ac:dyDescent="0.25">
      <c r="A11" s="3" t="s">
        <v>169</v>
      </c>
      <c r="B11" t="s">
        <v>95</v>
      </c>
    </row>
    <row r="12" spans="1:2" ht="15.75" x14ac:dyDescent="0.25">
      <c r="A12" s="3" t="s">
        <v>170</v>
      </c>
      <c r="B12" t="s">
        <v>96</v>
      </c>
    </row>
    <row r="13" spans="1:2" ht="15.75" x14ac:dyDescent="0.25">
      <c r="A13" s="3" t="s">
        <v>171</v>
      </c>
      <c r="B13" t="s">
        <v>97</v>
      </c>
    </row>
    <row r="14" spans="1:2" ht="15.75" x14ac:dyDescent="0.25">
      <c r="A14" s="3" t="s">
        <v>172</v>
      </c>
      <c r="B14" t="s">
        <v>98</v>
      </c>
    </row>
    <row r="15" spans="1:2" ht="15.75" x14ac:dyDescent="0.25">
      <c r="A15" s="3" t="s">
        <v>173</v>
      </c>
      <c r="B15" t="s">
        <v>99</v>
      </c>
    </row>
    <row r="16" spans="1:2" ht="15.75" x14ac:dyDescent="0.25">
      <c r="A16" s="3" t="s">
        <v>308</v>
      </c>
      <c r="B16" t="s">
        <v>309</v>
      </c>
    </row>
    <row r="17" spans="1:2" ht="15.75" x14ac:dyDescent="0.25">
      <c r="A17" s="3" t="s">
        <v>174</v>
      </c>
      <c r="B17" t="s">
        <v>100</v>
      </c>
    </row>
    <row r="18" spans="1:2" ht="15.75" x14ac:dyDescent="0.25">
      <c r="A18" s="3" t="s">
        <v>175</v>
      </c>
      <c r="B18" t="s">
        <v>101</v>
      </c>
    </row>
    <row r="19" spans="1:2" ht="15.75" x14ac:dyDescent="0.25">
      <c r="A19" s="3" t="s">
        <v>176</v>
      </c>
      <c r="B19" t="s">
        <v>102</v>
      </c>
    </row>
    <row r="20" spans="1:2" ht="15.75" x14ac:dyDescent="0.25">
      <c r="A20" s="3" t="s">
        <v>177</v>
      </c>
      <c r="B20" t="s">
        <v>103</v>
      </c>
    </row>
    <row r="21" spans="1:2" ht="15.75" x14ac:dyDescent="0.25">
      <c r="A21" s="3" t="s">
        <v>178</v>
      </c>
      <c r="B21" t="s">
        <v>104</v>
      </c>
    </row>
    <row r="22" spans="1:2" ht="15.75" x14ac:dyDescent="0.25">
      <c r="A22" s="3" t="s">
        <v>179</v>
      </c>
      <c r="B22" t="s">
        <v>105</v>
      </c>
    </row>
    <row r="23" spans="1:2" ht="15.75" x14ac:dyDescent="0.25">
      <c r="A23" s="3" t="s">
        <v>180</v>
      </c>
      <c r="B23" t="s">
        <v>106</v>
      </c>
    </row>
    <row r="24" spans="1:2" ht="15.75" x14ac:dyDescent="0.25">
      <c r="A24" s="3" t="s">
        <v>181</v>
      </c>
      <c r="B24" t="s">
        <v>107</v>
      </c>
    </row>
    <row r="25" spans="1:2" ht="15.75" x14ac:dyDescent="0.25">
      <c r="A25" s="3" t="s">
        <v>182</v>
      </c>
      <c r="B25" t="s">
        <v>108</v>
      </c>
    </row>
    <row r="26" spans="1:2" ht="15.75" x14ac:dyDescent="0.25">
      <c r="A26" s="3" t="s">
        <v>183</v>
      </c>
      <c r="B26" t="s">
        <v>109</v>
      </c>
    </row>
    <row r="27" spans="1:2" ht="15.75" x14ac:dyDescent="0.25">
      <c r="A27" s="3" t="s">
        <v>184</v>
      </c>
      <c r="B27" t="s">
        <v>84</v>
      </c>
    </row>
    <row r="28" spans="1:2" ht="15.75" x14ac:dyDescent="0.25">
      <c r="A28" s="3" t="s">
        <v>185</v>
      </c>
      <c r="B28" t="s">
        <v>110</v>
      </c>
    </row>
    <row r="29" spans="1:2" ht="15.75" x14ac:dyDescent="0.25">
      <c r="A29" s="3" t="s">
        <v>186</v>
      </c>
      <c r="B29" t="s">
        <v>82</v>
      </c>
    </row>
    <row r="30" spans="1:2" ht="15.75" x14ac:dyDescent="0.25">
      <c r="A30" s="3" t="s">
        <v>187</v>
      </c>
      <c r="B30" t="s">
        <v>111</v>
      </c>
    </row>
    <row r="31" spans="1:2" x14ac:dyDescent="0.25">
      <c r="A31" t="s">
        <v>188</v>
      </c>
      <c r="B31" t="s">
        <v>112</v>
      </c>
    </row>
    <row r="32" spans="1:2" x14ac:dyDescent="0.25">
      <c r="A32" t="s">
        <v>189</v>
      </c>
      <c r="B32" t="s">
        <v>83</v>
      </c>
    </row>
    <row r="33" spans="1:2" ht="15.75" x14ac:dyDescent="0.25">
      <c r="A33" s="3" t="s">
        <v>190</v>
      </c>
      <c r="B33" t="s">
        <v>113</v>
      </c>
    </row>
    <row r="34" spans="1:2" x14ac:dyDescent="0.25">
      <c r="A34" t="s">
        <v>191</v>
      </c>
      <c r="B34" t="s">
        <v>114</v>
      </c>
    </row>
    <row r="35" spans="1:2" x14ac:dyDescent="0.25">
      <c r="A35" t="s">
        <v>192</v>
      </c>
      <c r="B35" t="s">
        <v>115</v>
      </c>
    </row>
    <row r="36" spans="1:2" x14ac:dyDescent="0.25">
      <c r="A36" t="s">
        <v>193</v>
      </c>
      <c r="B36" t="s">
        <v>116</v>
      </c>
    </row>
    <row r="37" spans="1:2" x14ac:dyDescent="0.25">
      <c r="A37" t="s">
        <v>194</v>
      </c>
      <c r="B37" t="s">
        <v>117</v>
      </c>
    </row>
    <row r="38" spans="1:2" x14ac:dyDescent="0.25">
      <c r="A38" t="s">
        <v>195</v>
      </c>
      <c r="B38" t="s">
        <v>118</v>
      </c>
    </row>
    <row r="39" spans="1:2" x14ac:dyDescent="0.25">
      <c r="A39" t="s">
        <v>196</v>
      </c>
      <c r="B39" t="s">
        <v>118</v>
      </c>
    </row>
    <row r="40" spans="1:2" x14ac:dyDescent="0.25">
      <c r="A40" t="s">
        <v>197</v>
      </c>
      <c r="B40" t="s">
        <v>119</v>
      </c>
    </row>
    <row r="41" spans="1:2" x14ac:dyDescent="0.25">
      <c r="A41" t="s">
        <v>198</v>
      </c>
      <c r="B41" t="s">
        <v>120</v>
      </c>
    </row>
    <row r="42" spans="1:2" x14ac:dyDescent="0.25">
      <c r="A42" t="s">
        <v>199</v>
      </c>
      <c r="B42" t="s">
        <v>121</v>
      </c>
    </row>
    <row r="43" spans="1:2" x14ac:dyDescent="0.25">
      <c r="A43" t="s">
        <v>200</v>
      </c>
      <c r="B43" t="s">
        <v>122</v>
      </c>
    </row>
    <row r="44" spans="1:2" x14ac:dyDescent="0.25">
      <c r="A44" t="s">
        <v>201</v>
      </c>
      <c r="B44" t="s">
        <v>123</v>
      </c>
    </row>
    <row r="45" spans="1:2" x14ac:dyDescent="0.25">
      <c r="A45" t="s">
        <v>202</v>
      </c>
      <c r="B45" t="s">
        <v>124</v>
      </c>
    </row>
    <row r="46" spans="1:2" x14ac:dyDescent="0.25">
      <c r="A46" t="s">
        <v>203</v>
      </c>
      <c r="B46" t="s">
        <v>125</v>
      </c>
    </row>
    <row r="47" spans="1:2" x14ac:dyDescent="0.25">
      <c r="A47" t="s">
        <v>204</v>
      </c>
      <c r="B47" t="s">
        <v>126</v>
      </c>
    </row>
    <row r="48" spans="1:2" x14ac:dyDescent="0.25">
      <c r="A48" t="s">
        <v>205</v>
      </c>
      <c r="B48" t="s">
        <v>127</v>
      </c>
    </row>
    <row r="49" spans="1:2" x14ac:dyDescent="0.25">
      <c r="A49" t="s">
        <v>206</v>
      </c>
      <c r="B49" t="s">
        <v>125</v>
      </c>
    </row>
    <row r="50" spans="1:2" x14ac:dyDescent="0.25">
      <c r="A50" t="s">
        <v>207</v>
      </c>
      <c r="B50" t="s">
        <v>125</v>
      </c>
    </row>
    <row r="51" spans="1:2" x14ac:dyDescent="0.25">
      <c r="A51" t="s">
        <v>208</v>
      </c>
      <c r="B51" t="s">
        <v>126</v>
      </c>
    </row>
    <row r="52" spans="1:2" x14ac:dyDescent="0.25">
      <c r="A52" t="s">
        <v>209</v>
      </c>
      <c r="B52" t="s">
        <v>128</v>
      </c>
    </row>
    <row r="53" spans="1:2" x14ac:dyDescent="0.25">
      <c r="A53" t="s">
        <v>210</v>
      </c>
      <c r="B53" t="s">
        <v>107</v>
      </c>
    </row>
    <row r="54" spans="1:2" x14ac:dyDescent="0.25">
      <c r="A54" t="s">
        <v>211</v>
      </c>
      <c r="B54" t="s">
        <v>129</v>
      </c>
    </row>
    <row r="55" spans="1:2" x14ac:dyDescent="0.25">
      <c r="A55" t="s">
        <v>212</v>
      </c>
      <c r="B55" t="s">
        <v>128</v>
      </c>
    </row>
  </sheetData>
  <dataConsolidate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31"/>
  <sheetViews>
    <sheetView topLeftCell="A98" workbookViewId="0">
      <selection activeCell="B115" sqref="B115"/>
    </sheetView>
  </sheetViews>
  <sheetFormatPr defaultRowHeight="15" x14ac:dyDescent="0.25"/>
  <cols>
    <col min="1" max="1" width="25.140625" bestFit="1" customWidth="1"/>
    <col min="2" max="2" width="56.7109375" bestFit="1" customWidth="1"/>
  </cols>
  <sheetData>
    <row r="1" spans="1:2" ht="15.75" x14ac:dyDescent="0.25">
      <c r="A1" s="2" t="s">
        <v>159</v>
      </c>
      <c r="B1" t="s">
        <v>131</v>
      </c>
    </row>
    <row r="2" spans="1:2" ht="15.75" x14ac:dyDescent="0.25">
      <c r="A2" s="2" t="s">
        <v>159</v>
      </c>
      <c r="B2" t="s">
        <v>218</v>
      </c>
    </row>
    <row r="3" spans="1:2" ht="15.75" x14ac:dyDescent="0.25">
      <c r="A3" s="2" t="s">
        <v>159</v>
      </c>
      <c r="B3" t="s">
        <v>130</v>
      </c>
    </row>
    <row r="4" spans="1:2" ht="15.75" x14ac:dyDescent="0.25">
      <c r="A4" s="3" t="s">
        <v>160</v>
      </c>
      <c r="B4" t="s">
        <v>219</v>
      </c>
    </row>
    <row r="5" spans="1:2" ht="15.75" x14ac:dyDescent="0.25">
      <c r="A5" s="3" t="s">
        <v>160</v>
      </c>
      <c r="B5" t="s">
        <v>220</v>
      </c>
    </row>
    <row r="6" spans="1:2" ht="15.75" x14ac:dyDescent="0.25">
      <c r="A6" s="1" t="s">
        <v>161</v>
      </c>
      <c r="B6" t="s">
        <v>132</v>
      </c>
    </row>
    <row r="7" spans="1:2" ht="15.75" x14ac:dyDescent="0.25">
      <c r="A7" s="1" t="s">
        <v>161</v>
      </c>
      <c r="B7" t="s">
        <v>229</v>
      </c>
    </row>
    <row r="8" spans="1:2" ht="15.75" x14ac:dyDescent="0.25">
      <c r="A8" s="3" t="s">
        <v>162</v>
      </c>
      <c r="B8" t="s">
        <v>133</v>
      </c>
    </row>
    <row r="9" spans="1:2" ht="15.75" x14ac:dyDescent="0.25">
      <c r="A9" s="3" t="s">
        <v>162</v>
      </c>
      <c r="B9" t="s">
        <v>229</v>
      </c>
    </row>
    <row r="10" spans="1:2" ht="15.75" x14ac:dyDescent="0.25">
      <c r="A10" s="24" t="s">
        <v>163</v>
      </c>
      <c r="B10" t="s">
        <v>224</v>
      </c>
    </row>
    <row r="11" spans="1:2" ht="15.75" x14ac:dyDescent="0.25">
      <c r="A11" s="24" t="s">
        <v>163</v>
      </c>
      <c r="B11" t="s">
        <v>223</v>
      </c>
    </row>
    <row r="12" spans="1:2" ht="15.75" x14ac:dyDescent="0.25">
      <c r="A12" s="3" t="s">
        <v>164</v>
      </c>
      <c r="B12" t="s">
        <v>225</v>
      </c>
    </row>
    <row r="13" spans="1:2" ht="15.75" x14ac:dyDescent="0.25">
      <c r="A13" s="3" t="s">
        <v>164</v>
      </c>
      <c r="B13" t="s">
        <v>229</v>
      </c>
    </row>
    <row r="14" spans="1:2" ht="15.75" x14ac:dyDescent="0.25">
      <c r="A14" s="3" t="s">
        <v>164</v>
      </c>
      <c r="B14" t="s">
        <v>221</v>
      </c>
    </row>
    <row r="15" spans="1:2" ht="15.75" x14ac:dyDescent="0.25">
      <c r="A15" s="3" t="s">
        <v>164</v>
      </c>
      <c r="B15" t="s">
        <v>222</v>
      </c>
    </row>
    <row r="16" spans="1:2" ht="15.75" x14ac:dyDescent="0.25">
      <c r="A16" s="3" t="s">
        <v>165</v>
      </c>
      <c r="B16" t="s">
        <v>226</v>
      </c>
    </row>
    <row r="17" spans="1:2" ht="15.75" x14ac:dyDescent="0.25">
      <c r="A17" s="3" t="s">
        <v>165</v>
      </c>
      <c r="B17" t="s">
        <v>227</v>
      </c>
    </row>
    <row r="18" spans="1:2" ht="15.75" x14ac:dyDescent="0.25">
      <c r="A18" s="3" t="s">
        <v>165</v>
      </c>
      <c r="B18" t="s">
        <v>229</v>
      </c>
    </row>
    <row r="19" spans="1:2" ht="15.75" x14ac:dyDescent="0.25">
      <c r="A19" s="3" t="s">
        <v>166</v>
      </c>
      <c r="B19" t="s">
        <v>232</v>
      </c>
    </row>
    <row r="20" spans="1:2" ht="15.75" x14ac:dyDescent="0.25">
      <c r="A20" s="3" t="s">
        <v>166</v>
      </c>
      <c r="B20" t="s">
        <v>233</v>
      </c>
    </row>
    <row r="21" spans="1:2" ht="15.75" x14ac:dyDescent="0.25">
      <c r="A21" s="3" t="s">
        <v>166</v>
      </c>
      <c r="B21" t="s">
        <v>228</v>
      </c>
    </row>
    <row r="22" spans="1:2" ht="15.75" x14ac:dyDescent="0.25">
      <c r="A22" s="3" t="s">
        <v>167</v>
      </c>
      <c r="B22" t="s">
        <v>134</v>
      </c>
    </row>
    <row r="23" spans="1:2" ht="15.75" x14ac:dyDescent="0.25">
      <c r="A23" s="3" t="s">
        <v>167</v>
      </c>
      <c r="B23" t="s">
        <v>230</v>
      </c>
    </row>
    <row r="24" spans="1:2" ht="15.75" x14ac:dyDescent="0.25">
      <c r="A24" s="3" t="s">
        <v>167</v>
      </c>
      <c r="B24" t="s">
        <v>234</v>
      </c>
    </row>
    <row r="25" spans="1:2" ht="15.75" x14ac:dyDescent="0.25">
      <c r="A25" s="3" t="s">
        <v>167</v>
      </c>
      <c r="B25" t="s">
        <v>231</v>
      </c>
    </row>
    <row r="26" spans="1:2" ht="15.75" x14ac:dyDescent="0.25">
      <c r="A26" s="3" t="s">
        <v>168</v>
      </c>
      <c r="B26" t="s">
        <v>236</v>
      </c>
    </row>
    <row r="27" spans="1:2" ht="15.75" x14ac:dyDescent="0.25">
      <c r="A27" s="3" t="s">
        <v>168</v>
      </c>
      <c r="B27" t="s">
        <v>235</v>
      </c>
    </row>
    <row r="28" spans="1:2" ht="15.75" x14ac:dyDescent="0.25">
      <c r="A28" s="3" t="s">
        <v>169</v>
      </c>
      <c r="B28" t="s">
        <v>135</v>
      </c>
    </row>
    <row r="29" spans="1:2" ht="15.75" x14ac:dyDescent="0.25">
      <c r="A29" s="3" t="s">
        <v>169</v>
      </c>
      <c r="B29" t="s">
        <v>238</v>
      </c>
    </row>
    <row r="30" spans="1:2" ht="15.75" x14ac:dyDescent="0.25">
      <c r="A30" s="3" t="s">
        <v>169</v>
      </c>
      <c r="B30" t="s">
        <v>237</v>
      </c>
    </row>
    <row r="31" spans="1:2" ht="15.75" x14ac:dyDescent="0.25">
      <c r="A31" s="3" t="s">
        <v>170</v>
      </c>
      <c r="B31" t="s">
        <v>239</v>
      </c>
    </row>
    <row r="32" spans="1:2" ht="15.75" x14ac:dyDescent="0.25">
      <c r="A32" s="3" t="s">
        <v>170</v>
      </c>
      <c r="B32" t="s">
        <v>233</v>
      </c>
    </row>
    <row r="33" spans="1:2" ht="15.75" x14ac:dyDescent="0.25">
      <c r="A33" s="3" t="s">
        <v>170</v>
      </c>
      <c r="B33" t="s">
        <v>228</v>
      </c>
    </row>
    <row r="34" spans="1:2" ht="15.75" x14ac:dyDescent="0.25">
      <c r="A34" s="3" t="s">
        <v>171</v>
      </c>
      <c r="B34" t="s">
        <v>240</v>
      </c>
    </row>
    <row r="35" spans="1:2" ht="15.75" x14ac:dyDescent="0.25">
      <c r="A35" s="3" t="s">
        <v>171</v>
      </c>
      <c r="B35" t="s">
        <v>241</v>
      </c>
    </row>
    <row r="36" spans="1:2" ht="15.75" x14ac:dyDescent="0.25">
      <c r="A36" s="3" t="s">
        <v>172</v>
      </c>
      <c r="B36" t="s">
        <v>246</v>
      </c>
    </row>
    <row r="37" spans="1:2" ht="15.75" x14ac:dyDescent="0.25">
      <c r="A37" s="3" t="s">
        <v>172</v>
      </c>
      <c r="B37" t="s">
        <v>140</v>
      </c>
    </row>
    <row r="38" spans="1:2" ht="15.75" x14ac:dyDescent="0.25">
      <c r="A38" s="3" t="s">
        <v>173</v>
      </c>
      <c r="B38" t="s">
        <v>221</v>
      </c>
    </row>
    <row r="39" spans="1:2" ht="15.75" x14ac:dyDescent="0.25">
      <c r="A39" s="3" t="s">
        <v>173</v>
      </c>
      <c r="B39" t="s">
        <v>242</v>
      </c>
    </row>
    <row r="40" spans="1:2" ht="15.75" x14ac:dyDescent="0.25">
      <c r="A40" s="3" t="s">
        <v>173</v>
      </c>
      <c r="B40" t="s">
        <v>243</v>
      </c>
    </row>
    <row r="41" spans="1:2" ht="15.75" x14ac:dyDescent="0.25">
      <c r="A41" s="3" t="s">
        <v>174</v>
      </c>
      <c r="B41" t="s">
        <v>136</v>
      </c>
    </row>
    <row r="42" spans="1:2" ht="15.75" x14ac:dyDescent="0.25">
      <c r="A42" s="3" t="s">
        <v>174</v>
      </c>
      <c r="B42" t="s">
        <v>139</v>
      </c>
    </row>
    <row r="43" spans="1:2" ht="15.75" x14ac:dyDescent="0.25">
      <c r="A43" s="3" t="s">
        <v>174</v>
      </c>
      <c r="B43" t="s">
        <v>231</v>
      </c>
    </row>
    <row r="44" spans="1:2" ht="15.75" x14ac:dyDescent="0.25">
      <c r="A44" s="3" t="s">
        <v>175</v>
      </c>
      <c r="B44" t="s">
        <v>244</v>
      </c>
    </row>
    <row r="45" spans="1:2" ht="15.75" x14ac:dyDescent="0.25">
      <c r="A45" s="3" t="s">
        <v>175</v>
      </c>
      <c r="B45" t="s">
        <v>137</v>
      </c>
    </row>
    <row r="46" spans="1:2" ht="15.75" x14ac:dyDescent="0.25">
      <c r="A46" s="3" t="s">
        <v>176</v>
      </c>
      <c r="B46" t="s">
        <v>245</v>
      </c>
    </row>
    <row r="47" spans="1:2" ht="15.75" x14ac:dyDescent="0.25">
      <c r="A47" s="3" t="s">
        <v>176</v>
      </c>
      <c r="B47" t="s">
        <v>138</v>
      </c>
    </row>
    <row r="48" spans="1:2" ht="15.75" x14ac:dyDescent="0.25">
      <c r="A48" s="3" t="s">
        <v>177</v>
      </c>
      <c r="B48" t="s">
        <v>247</v>
      </c>
    </row>
    <row r="49" spans="1:2" ht="15.75" x14ac:dyDescent="0.25">
      <c r="A49" s="3" t="s">
        <v>177</v>
      </c>
      <c r="B49" t="s">
        <v>248</v>
      </c>
    </row>
    <row r="50" spans="1:2" ht="15.75" x14ac:dyDescent="0.25">
      <c r="A50" s="3" t="s">
        <v>177</v>
      </c>
      <c r="B50" t="s">
        <v>249</v>
      </c>
    </row>
    <row r="51" spans="1:2" ht="15.75" x14ac:dyDescent="0.25">
      <c r="A51" s="3" t="s">
        <v>177</v>
      </c>
      <c r="B51" t="s">
        <v>250</v>
      </c>
    </row>
    <row r="52" spans="1:2" ht="15.75" x14ac:dyDescent="0.25">
      <c r="A52" s="3" t="s">
        <v>178</v>
      </c>
      <c r="B52" t="s">
        <v>251</v>
      </c>
    </row>
    <row r="53" spans="1:2" ht="15.75" x14ac:dyDescent="0.25">
      <c r="A53" s="3" t="s">
        <v>178</v>
      </c>
      <c r="B53" t="s">
        <v>252</v>
      </c>
    </row>
    <row r="54" spans="1:2" ht="15.75" x14ac:dyDescent="0.25">
      <c r="A54" s="3" t="s">
        <v>179</v>
      </c>
      <c r="B54" t="s">
        <v>141</v>
      </c>
    </row>
    <row r="55" spans="1:2" ht="15.75" x14ac:dyDescent="0.25">
      <c r="A55" s="3" t="s">
        <v>179</v>
      </c>
      <c r="B55" t="s">
        <v>142</v>
      </c>
    </row>
    <row r="56" spans="1:2" ht="15.75" x14ac:dyDescent="0.25">
      <c r="A56" s="3" t="s">
        <v>179</v>
      </c>
      <c r="B56" t="s">
        <v>229</v>
      </c>
    </row>
    <row r="57" spans="1:2" ht="15.75" x14ac:dyDescent="0.25">
      <c r="A57" s="3" t="s">
        <v>180</v>
      </c>
      <c r="B57" t="s">
        <v>287</v>
      </c>
    </row>
    <row r="58" spans="1:2" ht="15.75" x14ac:dyDescent="0.25">
      <c r="A58" s="3" t="s">
        <v>180</v>
      </c>
      <c r="B58" t="s">
        <v>288</v>
      </c>
    </row>
    <row r="59" spans="1:2" ht="15.75" x14ac:dyDescent="0.25">
      <c r="A59" s="3" t="s">
        <v>181</v>
      </c>
      <c r="B59" t="s">
        <v>143</v>
      </c>
    </row>
    <row r="60" spans="1:2" ht="15.75" x14ac:dyDescent="0.25">
      <c r="A60" s="3" t="s">
        <v>181</v>
      </c>
      <c r="B60" t="s">
        <v>258</v>
      </c>
    </row>
    <row r="61" spans="1:2" ht="15.75" x14ac:dyDescent="0.25">
      <c r="A61" s="3" t="s">
        <v>182</v>
      </c>
      <c r="B61" t="s">
        <v>253</v>
      </c>
    </row>
    <row r="62" spans="1:2" ht="15.75" x14ac:dyDescent="0.25">
      <c r="A62" s="3" t="s">
        <v>182</v>
      </c>
      <c r="B62" t="s">
        <v>254</v>
      </c>
    </row>
    <row r="63" spans="1:2" ht="15.75" x14ac:dyDescent="0.25">
      <c r="A63" s="3" t="s">
        <v>182</v>
      </c>
      <c r="B63" t="s">
        <v>255</v>
      </c>
    </row>
    <row r="64" spans="1:2" ht="15.75" x14ac:dyDescent="0.25">
      <c r="A64" s="3" t="s">
        <v>183</v>
      </c>
      <c r="B64" t="s">
        <v>256</v>
      </c>
    </row>
    <row r="65" spans="1:2" ht="15.75" x14ac:dyDescent="0.25">
      <c r="A65" s="3" t="s">
        <v>183</v>
      </c>
      <c r="B65" t="s">
        <v>257</v>
      </c>
    </row>
    <row r="66" spans="1:2" ht="15.75" x14ac:dyDescent="0.25">
      <c r="A66" s="3" t="s">
        <v>184</v>
      </c>
      <c r="B66" t="s">
        <v>144</v>
      </c>
    </row>
    <row r="67" spans="1:2" ht="15.75" x14ac:dyDescent="0.25">
      <c r="A67" s="3" t="s">
        <v>184</v>
      </c>
      <c r="B67" t="s">
        <v>259</v>
      </c>
    </row>
    <row r="68" spans="1:2" ht="15.75" x14ac:dyDescent="0.25">
      <c r="A68" s="3" t="s">
        <v>185</v>
      </c>
      <c r="B68" t="s">
        <v>261</v>
      </c>
    </row>
    <row r="69" spans="1:2" ht="15.75" x14ac:dyDescent="0.25">
      <c r="A69" s="3" t="s">
        <v>185</v>
      </c>
      <c r="B69" t="s">
        <v>260</v>
      </c>
    </row>
    <row r="70" spans="1:2" ht="15.75" x14ac:dyDescent="0.25">
      <c r="A70" s="3" t="s">
        <v>186</v>
      </c>
      <c r="B70" t="s">
        <v>291</v>
      </c>
    </row>
    <row r="71" spans="1:2" ht="15.75" x14ac:dyDescent="0.25">
      <c r="A71" s="3" t="s">
        <v>186</v>
      </c>
      <c r="B71" t="s">
        <v>292</v>
      </c>
    </row>
    <row r="72" spans="1:2" ht="15.75" x14ac:dyDescent="0.25">
      <c r="A72" s="3" t="s">
        <v>186</v>
      </c>
      <c r="B72" t="s">
        <v>229</v>
      </c>
    </row>
    <row r="73" spans="1:2" ht="15.75" x14ac:dyDescent="0.25">
      <c r="A73" s="3" t="s">
        <v>187</v>
      </c>
      <c r="B73" t="s">
        <v>145</v>
      </c>
    </row>
    <row r="74" spans="1:2" ht="15.75" x14ac:dyDescent="0.25">
      <c r="A74" s="3" t="s">
        <v>187</v>
      </c>
      <c r="B74" t="s">
        <v>289</v>
      </c>
    </row>
    <row r="75" spans="1:2" ht="15.75" x14ac:dyDescent="0.25">
      <c r="A75" s="3" t="s">
        <v>187</v>
      </c>
      <c r="B75" t="s">
        <v>290</v>
      </c>
    </row>
    <row r="76" spans="1:2" x14ac:dyDescent="0.25">
      <c r="A76" t="s">
        <v>188</v>
      </c>
      <c r="B76" t="s">
        <v>296</v>
      </c>
    </row>
    <row r="77" spans="1:2" x14ac:dyDescent="0.25">
      <c r="A77" t="s">
        <v>188</v>
      </c>
      <c r="B77" t="s">
        <v>295</v>
      </c>
    </row>
    <row r="78" spans="1:2" x14ac:dyDescent="0.25">
      <c r="A78" t="s">
        <v>188</v>
      </c>
      <c r="B78" t="s">
        <v>293</v>
      </c>
    </row>
    <row r="79" spans="1:2" x14ac:dyDescent="0.25">
      <c r="A79" t="s">
        <v>188</v>
      </c>
      <c r="B79" t="s">
        <v>294</v>
      </c>
    </row>
    <row r="80" spans="1:2" x14ac:dyDescent="0.25">
      <c r="A80" t="s">
        <v>189</v>
      </c>
      <c r="B80" t="s">
        <v>146</v>
      </c>
    </row>
    <row r="81" spans="1:2" x14ac:dyDescent="0.25">
      <c r="A81" t="s">
        <v>189</v>
      </c>
      <c r="B81" t="s">
        <v>297</v>
      </c>
    </row>
    <row r="82" spans="1:2" ht="15.75" x14ac:dyDescent="0.25">
      <c r="A82" s="3" t="s">
        <v>190</v>
      </c>
      <c r="B82" t="s">
        <v>147</v>
      </c>
    </row>
    <row r="83" spans="1:2" ht="15.75" x14ac:dyDescent="0.25">
      <c r="A83" s="3" t="s">
        <v>190</v>
      </c>
      <c r="B83" t="s">
        <v>148</v>
      </c>
    </row>
    <row r="84" spans="1:2" s="25" customFormat="1" x14ac:dyDescent="0.25">
      <c r="A84" s="25" t="s">
        <v>191</v>
      </c>
      <c r="B84" s="25" t="s">
        <v>298</v>
      </c>
    </row>
    <row r="85" spans="1:2" s="25" customFormat="1" x14ac:dyDescent="0.25">
      <c r="A85" s="25" t="s">
        <v>191</v>
      </c>
      <c r="B85" s="25" t="s">
        <v>299</v>
      </c>
    </row>
    <row r="86" spans="1:2" x14ac:dyDescent="0.25">
      <c r="A86" t="s">
        <v>192</v>
      </c>
      <c r="B86" t="s">
        <v>298</v>
      </c>
    </row>
    <row r="87" spans="1:2" x14ac:dyDescent="0.25">
      <c r="A87" t="s">
        <v>192</v>
      </c>
      <c r="B87" t="s">
        <v>149</v>
      </c>
    </row>
    <row r="88" spans="1:2" x14ac:dyDescent="0.25">
      <c r="A88" t="s">
        <v>193</v>
      </c>
      <c r="B88" t="s">
        <v>300</v>
      </c>
    </row>
    <row r="89" spans="1:2" x14ac:dyDescent="0.25">
      <c r="A89" t="s">
        <v>194</v>
      </c>
      <c r="B89" t="s">
        <v>301</v>
      </c>
    </row>
    <row r="90" spans="1:2" x14ac:dyDescent="0.25">
      <c r="A90" t="s">
        <v>194</v>
      </c>
      <c r="B90" t="s">
        <v>302</v>
      </c>
    </row>
    <row r="91" spans="1:2" x14ac:dyDescent="0.25">
      <c r="A91" t="s">
        <v>195</v>
      </c>
      <c r="B91" t="s">
        <v>145</v>
      </c>
    </row>
    <row r="92" spans="1:2" x14ac:dyDescent="0.25">
      <c r="A92" t="s">
        <v>195</v>
      </c>
      <c r="B92" t="s">
        <v>303</v>
      </c>
    </row>
    <row r="93" spans="1:2" x14ac:dyDescent="0.25">
      <c r="A93" t="s">
        <v>196</v>
      </c>
      <c r="B93" t="s">
        <v>145</v>
      </c>
    </row>
    <row r="94" spans="1:2" x14ac:dyDescent="0.25">
      <c r="A94" t="s">
        <v>196</v>
      </c>
      <c r="B94" t="s">
        <v>304</v>
      </c>
    </row>
    <row r="95" spans="1:2" x14ac:dyDescent="0.25">
      <c r="A95" t="s">
        <v>197</v>
      </c>
      <c r="B95" t="s">
        <v>268</v>
      </c>
    </row>
    <row r="96" spans="1:2" x14ac:dyDescent="0.25">
      <c r="A96" t="s">
        <v>197</v>
      </c>
      <c r="B96" t="s">
        <v>151</v>
      </c>
    </row>
    <row r="97" spans="1:2" x14ac:dyDescent="0.25">
      <c r="A97" t="s">
        <v>198</v>
      </c>
      <c r="B97" t="s">
        <v>262</v>
      </c>
    </row>
    <row r="98" spans="1:2" x14ac:dyDescent="0.25">
      <c r="A98" t="s">
        <v>198</v>
      </c>
      <c r="B98" t="s">
        <v>263</v>
      </c>
    </row>
    <row r="99" spans="1:2" x14ac:dyDescent="0.25">
      <c r="A99" t="s">
        <v>198</v>
      </c>
      <c r="B99" t="s">
        <v>264</v>
      </c>
    </row>
    <row r="100" spans="1:2" x14ac:dyDescent="0.25">
      <c r="A100" t="s">
        <v>198</v>
      </c>
      <c r="B100" t="s">
        <v>265</v>
      </c>
    </row>
    <row r="101" spans="1:2" x14ac:dyDescent="0.25">
      <c r="A101" t="s">
        <v>198</v>
      </c>
      <c r="B101" t="s">
        <v>266</v>
      </c>
    </row>
    <row r="102" spans="1:2" x14ac:dyDescent="0.25">
      <c r="A102" t="s">
        <v>199</v>
      </c>
      <c r="B102" t="s">
        <v>267</v>
      </c>
    </row>
    <row r="103" spans="1:2" x14ac:dyDescent="0.25">
      <c r="A103" t="s">
        <v>199</v>
      </c>
      <c r="B103" t="s">
        <v>271</v>
      </c>
    </row>
    <row r="104" spans="1:2" x14ac:dyDescent="0.25">
      <c r="A104" t="s">
        <v>200</v>
      </c>
      <c r="B104" t="s">
        <v>269</v>
      </c>
    </row>
    <row r="105" spans="1:2" x14ac:dyDescent="0.25">
      <c r="A105" t="s">
        <v>200</v>
      </c>
      <c r="B105" t="s">
        <v>270</v>
      </c>
    </row>
    <row r="106" spans="1:2" x14ac:dyDescent="0.25">
      <c r="A106" t="s">
        <v>201</v>
      </c>
      <c r="B106" t="s">
        <v>272</v>
      </c>
    </row>
    <row r="107" spans="1:2" x14ac:dyDescent="0.25">
      <c r="A107" t="s">
        <v>201</v>
      </c>
      <c r="B107" t="s">
        <v>273</v>
      </c>
    </row>
    <row r="108" spans="1:2" x14ac:dyDescent="0.25">
      <c r="A108" t="s">
        <v>202</v>
      </c>
      <c r="B108" t="s">
        <v>274</v>
      </c>
    </row>
    <row r="109" spans="1:2" x14ac:dyDescent="0.25">
      <c r="A109" t="s">
        <v>202</v>
      </c>
      <c r="B109" t="s">
        <v>275</v>
      </c>
    </row>
    <row r="110" spans="1:2" x14ac:dyDescent="0.25">
      <c r="A110" t="s">
        <v>203</v>
      </c>
      <c r="B110" t="s">
        <v>276</v>
      </c>
    </row>
    <row r="111" spans="1:2" x14ac:dyDescent="0.25">
      <c r="A111" t="s">
        <v>203</v>
      </c>
      <c r="B111" t="s">
        <v>277</v>
      </c>
    </row>
    <row r="112" spans="1:2" x14ac:dyDescent="0.25">
      <c r="A112" t="s">
        <v>204</v>
      </c>
      <c r="B112" t="s">
        <v>278</v>
      </c>
    </row>
    <row r="113" spans="1:2" x14ac:dyDescent="0.25">
      <c r="A113" t="s">
        <v>204</v>
      </c>
      <c r="B113" t="s">
        <v>280</v>
      </c>
    </row>
    <row r="114" spans="1:2" x14ac:dyDescent="0.25">
      <c r="A114" t="s">
        <v>204</v>
      </c>
      <c r="B114" t="s">
        <v>279</v>
      </c>
    </row>
    <row r="115" spans="1:2" x14ac:dyDescent="0.25">
      <c r="A115" t="s">
        <v>205</v>
      </c>
      <c r="B115" t="s">
        <v>286</v>
      </c>
    </row>
    <row r="116" spans="1:2" x14ac:dyDescent="0.25">
      <c r="A116" t="s">
        <v>205</v>
      </c>
      <c r="B116" t="s">
        <v>150</v>
      </c>
    </row>
    <row r="117" spans="1:2" x14ac:dyDescent="0.25">
      <c r="A117" t="s">
        <v>206</v>
      </c>
      <c r="B117" t="s">
        <v>268</v>
      </c>
    </row>
    <row r="118" spans="1:2" x14ac:dyDescent="0.25">
      <c r="A118" t="s">
        <v>206</v>
      </c>
      <c r="B118" t="s">
        <v>284</v>
      </c>
    </row>
    <row r="119" spans="1:2" x14ac:dyDescent="0.25">
      <c r="A119" t="s">
        <v>206</v>
      </c>
      <c r="B119" t="s">
        <v>285</v>
      </c>
    </row>
    <row r="120" spans="1:2" x14ac:dyDescent="0.25">
      <c r="A120" t="s">
        <v>207</v>
      </c>
      <c r="B120" t="s">
        <v>282</v>
      </c>
    </row>
    <row r="121" spans="1:2" x14ac:dyDescent="0.25">
      <c r="A121" t="s">
        <v>207</v>
      </c>
      <c r="B121" t="s">
        <v>281</v>
      </c>
    </row>
    <row r="122" spans="1:2" x14ac:dyDescent="0.25">
      <c r="A122" t="s">
        <v>208</v>
      </c>
      <c r="B122" t="s">
        <v>152</v>
      </c>
    </row>
    <row r="123" spans="1:2" x14ac:dyDescent="0.25">
      <c r="A123" t="s">
        <v>208</v>
      </c>
      <c r="B123" t="s">
        <v>283</v>
      </c>
    </row>
    <row r="124" spans="1:2" x14ac:dyDescent="0.25">
      <c r="A124" t="s">
        <v>208</v>
      </c>
      <c r="B124" t="s">
        <v>153</v>
      </c>
    </row>
    <row r="125" spans="1:2" x14ac:dyDescent="0.25">
      <c r="A125" t="s">
        <v>209</v>
      </c>
      <c r="B125" t="s">
        <v>305</v>
      </c>
    </row>
    <row r="126" spans="1:2" x14ac:dyDescent="0.25">
      <c r="A126" t="s">
        <v>209</v>
      </c>
      <c r="B126" t="s">
        <v>154</v>
      </c>
    </row>
    <row r="127" spans="1:2" x14ac:dyDescent="0.25">
      <c r="A127" t="s">
        <v>210</v>
      </c>
      <c r="B127" t="s">
        <v>155</v>
      </c>
    </row>
    <row r="128" spans="1:2" x14ac:dyDescent="0.25">
      <c r="A128" t="s">
        <v>210</v>
      </c>
      <c r="B128" t="s">
        <v>156</v>
      </c>
    </row>
    <row r="129" spans="1:2" x14ac:dyDescent="0.25">
      <c r="A129" t="s">
        <v>211</v>
      </c>
      <c r="B129" t="s">
        <v>157</v>
      </c>
    </row>
    <row r="130" spans="1:2" x14ac:dyDescent="0.25">
      <c r="A130" t="s">
        <v>212</v>
      </c>
      <c r="B130" t="s">
        <v>158</v>
      </c>
    </row>
    <row r="131" spans="1:2" x14ac:dyDescent="0.25">
      <c r="A131" t="s">
        <v>212</v>
      </c>
      <c r="B131" t="s">
        <v>154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1"/>
  <sheetViews>
    <sheetView topLeftCell="D31" workbookViewId="0">
      <selection sqref="A1:C1048576"/>
    </sheetView>
  </sheetViews>
  <sheetFormatPr defaultRowHeight="15" x14ac:dyDescent="0.25"/>
  <cols>
    <col min="1" max="1" width="32.5703125" hidden="1" customWidth="1"/>
    <col min="2" max="2" width="23" hidden="1" customWidth="1"/>
    <col min="3" max="3" width="35.85546875" hidden="1" customWidth="1"/>
    <col min="4" max="4" width="8.42578125" customWidth="1"/>
    <col min="5" max="5" width="36.42578125" bestFit="1" customWidth="1"/>
  </cols>
  <sheetData>
    <row r="1" spans="1:5" x14ac:dyDescent="0.25">
      <c r="A1" t="s">
        <v>27</v>
      </c>
      <c r="B1" t="s">
        <v>28</v>
      </c>
      <c r="C1" t="s">
        <v>29</v>
      </c>
      <c r="D1">
        <v>1</v>
      </c>
      <c r="E1" s="4" t="s">
        <v>4</v>
      </c>
    </row>
    <row r="2" spans="1:5" x14ac:dyDescent="0.25">
      <c r="A2" s="4" t="s">
        <v>4</v>
      </c>
      <c r="B2" t="s">
        <v>32</v>
      </c>
      <c r="C2" t="s">
        <v>33</v>
      </c>
      <c r="D2">
        <v>1</v>
      </c>
      <c r="E2" s="4" t="s">
        <v>5</v>
      </c>
    </row>
    <row r="3" spans="1:5" x14ac:dyDescent="0.25">
      <c r="A3" s="4" t="s">
        <v>5</v>
      </c>
      <c r="B3" t="s">
        <v>34</v>
      </c>
      <c r="C3" t="s">
        <v>35</v>
      </c>
      <c r="D3">
        <v>1</v>
      </c>
      <c r="E3" s="4" t="s">
        <v>36</v>
      </c>
    </row>
    <row r="4" spans="1:5" x14ac:dyDescent="0.25">
      <c r="A4" s="4" t="s">
        <v>36</v>
      </c>
      <c r="B4" t="s">
        <v>1</v>
      </c>
      <c r="C4" t="s">
        <v>37</v>
      </c>
      <c r="D4">
        <v>1</v>
      </c>
      <c r="E4" s="4" t="s">
        <v>38</v>
      </c>
    </row>
    <row r="5" spans="1:5" x14ac:dyDescent="0.25">
      <c r="A5" s="4" t="s">
        <v>38</v>
      </c>
      <c r="B5" t="s">
        <v>39</v>
      </c>
      <c r="C5" t="s">
        <v>40</v>
      </c>
      <c r="D5">
        <v>1</v>
      </c>
      <c r="E5" s="4" t="s">
        <v>80</v>
      </c>
    </row>
    <row r="6" spans="1:5" x14ac:dyDescent="0.25">
      <c r="A6" s="4" t="s">
        <v>6</v>
      </c>
      <c r="B6" t="s">
        <v>41</v>
      </c>
      <c r="C6" t="s">
        <v>42</v>
      </c>
      <c r="D6">
        <v>1</v>
      </c>
      <c r="E6" s="4" t="s">
        <v>43</v>
      </c>
    </row>
    <row r="7" spans="1:5" x14ac:dyDescent="0.25">
      <c r="A7" s="4" t="s">
        <v>43</v>
      </c>
      <c r="B7" t="s">
        <v>44</v>
      </c>
      <c r="C7" t="s">
        <v>45</v>
      </c>
      <c r="D7">
        <v>1</v>
      </c>
      <c r="E7" s="4" t="s">
        <v>46</v>
      </c>
    </row>
    <row r="8" spans="1:5" x14ac:dyDescent="0.25">
      <c r="A8" s="4" t="s">
        <v>46</v>
      </c>
      <c r="B8" t="s">
        <v>47</v>
      </c>
      <c r="C8" t="s">
        <v>48</v>
      </c>
      <c r="D8">
        <v>1</v>
      </c>
      <c r="E8" s="4" t="s">
        <v>49</v>
      </c>
    </row>
    <row r="9" spans="1:5" x14ac:dyDescent="0.25">
      <c r="A9" s="4" t="s">
        <v>49</v>
      </c>
      <c r="B9" t="s">
        <v>50</v>
      </c>
      <c r="C9" t="s">
        <v>51</v>
      </c>
      <c r="D9">
        <v>1</v>
      </c>
      <c r="E9" s="4" t="s">
        <v>52</v>
      </c>
    </row>
    <row r="10" spans="1:5" x14ac:dyDescent="0.25">
      <c r="A10" s="4" t="s">
        <v>52</v>
      </c>
      <c r="B10" t="s">
        <v>53</v>
      </c>
      <c r="C10" t="s">
        <v>54</v>
      </c>
      <c r="D10">
        <v>1</v>
      </c>
      <c r="E10" s="4" t="s">
        <v>55</v>
      </c>
    </row>
    <row r="11" spans="1:5" x14ac:dyDescent="0.25">
      <c r="A11" s="4" t="s">
        <v>55</v>
      </c>
      <c r="B11" t="s">
        <v>56</v>
      </c>
      <c r="C11" t="s">
        <v>57</v>
      </c>
      <c r="D11">
        <v>1</v>
      </c>
      <c r="E11" s="4" t="s">
        <v>58</v>
      </c>
    </row>
    <row r="12" spans="1:5" x14ac:dyDescent="0.25">
      <c r="A12" s="4" t="s">
        <v>58</v>
      </c>
      <c r="B12" t="s">
        <v>2</v>
      </c>
      <c r="C12" t="s">
        <v>59</v>
      </c>
      <c r="D12">
        <v>1</v>
      </c>
      <c r="E12" s="4" t="s">
        <v>7</v>
      </c>
    </row>
    <row r="13" spans="1:5" x14ac:dyDescent="0.25">
      <c r="A13" s="4" t="s">
        <v>7</v>
      </c>
      <c r="B13" t="s">
        <v>60</v>
      </c>
      <c r="D13">
        <v>1</v>
      </c>
      <c r="E13" s="4" t="s">
        <v>61</v>
      </c>
    </row>
    <row r="14" spans="1:5" x14ac:dyDescent="0.25">
      <c r="A14" s="4" t="s">
        <v>61</v>
      </c>
      <c r="B14" t="s">
        <v>62</v>
      </c>
      <c r="D14">
        <v>1</v>
      </c>
      <c r="E14" s="4" t="s">
        <v>63</v>
      </c>
    </row>
    <row r="15" spans="1:5" x14ac:dyDescent="0.25">
      <c r="A15" s="4" t="s">
        <v>63</v>
      </c>
      <c r="B15" t="s">
        <v>64</v>
      </c>
      <c r="D15">
        <v>1</v>
      </c>
      <c r="E15" s="4" t="s">
        <v>65</v>
      </c>
    </row>
    <row r="16" spans="1:5" x14ac:dyDescent="0.25">
      <c r="A16" s="4" t="s">
        <v>65</v>
      </c>
      <c r="B16" t="s">
        <v>66</v>
      </c>
      <c r="D16">
        <v>1</v>
      </c>
      <c r="E16" s="4" t="s">
        <v>67</v>
      </c>
    </row>
    <row r="17" spans="1:5" x14ac:dyDescent="0.25">
      <c r="A17" s="4" t="s">
        <v>67</v>
      </c>
      <c r="B17" t="s">
        <v>68</v>
      </c>
      <c r="D17">
        <v>1</v>
      </c>
      <c r="E17" s="4" t="s">
        <v>78</v>
      </c>
    </row>
    <row r="18" spans="1:5" x14ac:dyDescent="0.25">
      <c r="A18" s="4" t="s">
        <v>69</v>
      </c>
      <c r="B18" t="s">
        <v>70</v>
      </c>
      <c r="D18">
        <v>1</v>
      </c>
      <c r="E18" s="4" t="s">
        <v>71</v>
      </c>
    </row>
    <row r="19" spans="1:5" x14ac:dyDescent="0.25">
      <c r="A19" s="4" t="s">
        <v>71</v>
      </c>
      <c r="B19" t="s">
        <v>10</v>
      </c>
      <c r="D19">
        <v>1</v>
      </c>
      <c r="E19" s="4" t="s">
        <v>8</v>
      </c>
    </row>
    <row r="20" spans="1:5" x14ac:dyDescent="0.25">
      <c r="A20" s="4" t="s">
        <v>8</v>
      </c>
      <c r="D20">
        <v>1</v>
      </c>
      <c r="E20" s="4" t="s">
        <v>79</v>
      </c>
    </row>
    <row r="21" spans="1:5" x14ac:dyDescent="0.25">
      <c r="A21" s="4" t="s">
        <v>72</v>
      </c>
      <c r="D21">
        <v>1</v>
      </c>
      <c r="E21" s="4" t="s">
        <v>73</v>
      </c>
    </row>
    <row r="22" spans="1:5" x14ac:dyDescent="0.25">
      <c r="A22" s="4" t="s">
        <v>73</v>
      </c>
      <c r="D22" s="4">
        <v>2</v>
      </c>
      <c r="E22" t="s">
        <v>81</v>
      </c>
    </row>
    <row r="23" spans="1:5" x14ac:dyDescent="0.25">
      <c r="D23" s="4">
        <v>2</v>
      </c>
      <c r="E23" t="s">
        <v>34</v>
      </c>
    </row>
    <row r="24" spans="1:5" x14ac:dyDescent="0.25">
      <c r="D24" s="4">
        <v>2</v>
      </c>
      <c r="E24" t="s">
        <v>1</v>
      </c>
    </row>
    <row r="25" spans="1:5" x14ac:dyDescent="0.25">
      <c r="D25" s="4">
        <v>2</v>
      </c>
      <c r="E25" t="s">
        <v>39</v>
      </c>
    </row>
    <row r="26" spans="1:5" x14ac:dyDescent="0.25">
      <c r="D26" s="4">
        <v>2</v>
      </c>
      <c r="E26" t="s">
        <v>41</v>
      </c>
    </row>
    <row r="27" spans="1:5" x14ac:dyDescent="0.25">
      <c r="D27" s="4">
        <v>2</v>
      </c>
      <c r="E27" t="s">
        <v>44</v>
      </c>
    </row>
    <row r="28" spans="1:5" x14ac:dyDescent="0.25">
      <c r="D28" s="4">
        <v>2</v>
      </c>
      <c r="E28" t="s">
        <v>47</v>
      </c>
    </row>
    <row r="29" spans="1:5" x14ac:dyDescent="0.25">
      <c r="D29" s="4">
        <v>2</v>
      </c>
      <c r="E29" t="s">
        <v>50</v>
      </c>
    </row>
    <row r="30" spans="1:5" x14ac:dyDescent="0.25">
      <c r="D30" s="4">
        <v>2</v>
      </c>
      <c r="E30" t="s">
        <v>53</v>
      </c>
    </row>
    <row r="31" spans="1:5" x14ac:dyDescent="0.25">
      <c r="D31" s="4">
        <v>2</v>
      </c>
      <c r="E31" t="s">
        <v>56</v>
      </c>
    </row>
    <row r="32" spans="1:5" x14ac:dyDescent="0.25">
      <c r="D32" s="4">
        <v>2</v>
      </c>
      <c r="E32" t="s">
        <v>2</v>
      </c>
    </row>
    <row r="33" spans="4:5" x14ac:dyDescent="0.25">
      <c r="D33" s="4">
        <v>2</v>
      </c>
      <c r="E33" t="s">
        <v>60</v>
      </c>
    </row>
    <row r="34" spans="4:5" x14ac:dyDescent="0.25">
      <c r="D34" s="4">
        <v>2</v>
      </c>
      <c r="E34" t="s">
        <v>62</v>
      </c>
    </row>
    <row r="35" spans="4:5" x14ac:dyDescent="0.25">
      <c r="D35" s="4">
        <v>2</v>
      </c>
      <c r="E35" t="s">
        <v>64</v>
      </c>
    </row>
    <row r="36" spans="4:5" x14ac:dyDescent="0.25">
      <c r="D36" s="4">
        <v>2</v>
      </c>
      <c r="E36" t="s">
        <v>307</v>
      </c>
    </row>
    <row r="37" spans="4:5" x14ac:dyDescent="0.25">
      <c r="D37" s="4">
        <v>2</v>
      </c>
      <c r="E37" t="s">
        <v>306</v>
      </c>
    </row>
    <row r="38" spans="4:5" x14ac:dyDescent="0.25">
      <c r="D38" s="4">
        <v>2</v>
      </c>
      <c r="E38" t="s">
        <v>68</v>
      </c>
    </row>
    <row r="39" spans="4:5" x14ac:dyDescent="0.25">
      <c r="D39" s="4">
        <v>2</v>
      </c>
      <c r="E39" t="s">
        <v>70</v>
      </c>
    </row>
    <row r="40" spans="4:5" x14ac:dyDescent="0.25">
      <c r="D40" s="4">
        <v>2</v>
      </c>
      <c r="E40" t="s">
        <v>10</v>
      </c>
    </row>
    <row r="41" spans="4:5" x14ac:dyDescent="0.25">
      <c r="D41">
        <v>3</v>
      </c>
      <c r="E41" t="s">
        <v>33</v>
      </c>
    </row>
    <row r="42" spans="4:5" x14ac:dyDescent="0.25">
      <c r="D42">
        <v>3</v>
      </c>
      <c r="E42" t="s">
        <v>35</v>
      </c>
    </row>
    <row r="43" spans="4:5" x14ac:dyDescent="0.25">
      <c r="D43">
        <v>3</v>
      </c>
      <c r="E43" t="s">
        <v>37</v>
      </c>
    </row>
    <row r="44" spans="4:5" x14ac:dyDescent="0.25">
      <c r="D44">
        <v>3</v>
      </c>
      <c r="E44" t="s">
        <v>40</v>
      </c>
    </row>
    <row r="45" spans="4:5" x14ac:dyDescent="0.25">
      <c r="D45">
        <v>3</v>
      </c>
      <c r="E45" t="s">
        <v>42</v>
      </c>
    </row>
    <row r="46" spans="4:5" x14ac:dyDescent="0.25">
      <c r="D46">
        <v>3</v>
      </c>
      <c r="E46" t="s">
        <v>45</v>
      </c>
    </row>
    <row r="47" spans="4:5" x14ac:dyDescent="0.25">
      <c r="D47">
        <v>3</v>
      </c>
      <c r="E47" t="s">
        <v>48</v>
      </c>
    </row>
    <row r="48" spans="4:5" x14ac:dyDescent="0.25">
      <c r="D48">
        <v>3</v>
      </c>
      <c r="E48" t="s">
        <v>51</v>
      </c>
    </row>
    <row r="49" spans="4:5" x14ac:dyDescent="0.25">
      <c r="D49">
        <v>3</v>
      </c>
      <c r="E49" t="s">
        <v>54</v>
      </c>
    </row>
    <row r="50" spans="4:5" x14ac:dyDescent="0.25">
      <c r="D50">
        <v>3</v>
      </c>
      <c r="E50" t="s">
        <v>57</v>
      </c>
    </row>
    <row r="51" spans="4:5" x14ac:dyDescent="0.25">
      <c r="D51">
        <v>3</v>
      </c>
      <c r="E51" t="s">
        <v>59</v>
      </c>
    </row>
  </sheetData>
  <conditionalFormatting sqref="B3:B19">
    <cfRule type="duplicateValues" dxfId="3" priority="5"/>
  </conditionalFormatting>
  <conditionalFormatting sqref="C3:C12">
    <cfRule type="duplicateValues" dxfId="2" priority="3"/>
  </conditionalFormatting>
  <conditionalFormatting sqref="E23:E40">
    <cfRule type="duplicateValues" dxfId="1" priority="6"/>
  </conditionalFormatting>
  <conditionalFormatting sqref="E42:E51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BD90B-2D51-49C9-8ECE-F185752AC6A6}">
  <dimension ref="A1:B5"/>
  <sheetViews>
    <sheetView workbookViewId="0">
      <selection sqref="A1:B5"/>
    </sheetView>
  </sheetViews>
  <sheetFormatPr defaultRowHeight="15" x14ac:dyDescent="0.25"/>
  <sheetData>
    <row r="1" spans="1:2" x14ac:dyDescent="0.25">
      <c r="A1" s="8" t="s">
        <v>3</v>
      </c>
      <c r="B1" s="8" t="s">
        <v>213</v>
      </c>
    </row>
    <row r="2" spans="1:2" x14ac:dyDescent="0.25">
      <c r="A2" s="8" t="s">
        <v>3</v>
      </c>
      <c r="B2" s="8" t="s">
        <v>214</v>
      </c>
    </row>
    <row r="3" spans="1:2" x14ac:dyDescent="0.25">
      <c r="A3" s="8" t="s">
        <v>3</v>
      </c>
      <c r="B3" s="8" t="s">
        <v>215</v>
      </c>
    </row>
    <row r="4" spans="1:2" x14ac:dyDescent="0.25">
      <c r="A4" s="8" t="s">
        <v>3</v>
      </c>
      <c r="B4" s="8" t="s">
        <v>216</v>
      </c>
    </row>
    <row r="5" spans="1:2" x14ac:dyDescent="0.25">
      <c r="A5" s="8" t="s">
        <v>3</v>
      </c>
      <c r="B5" s="8" t="s">
        <v>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Shift 1</vt:lpstr>
      <vt:lpstr>Shift 2</vt:lpstr>
      <vt:lpstr>Shift 3</vt:lpstr>
      <vt:lpstr>all_items</vt:lpstr>
      <vt:lpstr>all_actions</vt:lpstr>
      <vt:lpstr>all_locations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Wirahadi Saputra</dc:creator>
  <cp:lastModifiedBy>muhammad fahmi</cp:lastModifiedBy>
  <cp:revision>4</cp:revision>
  <cp:lastPrinted>2021-04-22T08:28:58Z</cp:lastPrinted>
  <dcterms:created xsi:type="dcterms:W3CDTF">2019-08-23T09:11:35Z</dcterms:created>
  <dcterms:modified xsi:type="dcterms:W3CDTF">2025-12-09T09:14:04Z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